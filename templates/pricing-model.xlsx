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4ff52be98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d8f42ad388d45b5"/>
    <x:sheet xmlns:r="http://schemas.openxmlformats.org/officeDocument/2006/relationships" name="Pricing_Engine" sheetId="2" r:id="R6bb3e343facd4ed0"/>
    <x:sheet xmlns:r="http://schemas.openxmlformats.org/officeDocument/2006/relationships" name="Deliverable_Map" sheetId="3" r:id="Rd13f85b273704242"/>
    <x:sheet xmlns:r="http://schemas.openxmlformats.org/officeDocument/2006/relationships" name="Payment_Milestones" sheetId="4" r:id="Rfb8cbd7a8aa24568"/>
    <x:sheet xmlns:r="http://schemas.openxmlformats.org/officeDocument/2006/relationships" name="Client_BOQ" sheetId="5" r:id="Rad4dcc9815ac4aea"/>
    <x:sheet xmlns:r="http://schemas.openxmlformats.org/officeDocument/2006/relationships" name="Summary" sheetId="6" r:id="Rf69b9973c81f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#,##0.00;[Red](#,##0.00);-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EF"/>
      </x:patternFill>
    </x:fill>
    <x:fill>
      <x:patternFill patternType="solid">
        <x:fgColor rgb="FFFFF2CC"/>
      </x:patternFill>
    </x:fill>
    <x:fill>
      <x:patternFill patternType="solid">
        <x:fgColor rgb="FF254D6F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4de5ff1284d8d" /><Relationship Type="http://schemas.openxmlformats.org/officeDocument/2006/relationships/theme" Target="/xl/theme/theme1.xml" Id="Ra61fba276ce94390" /><Relationship Type="http://schemas.openxmlformats.org/officeDocument/2006/relationships/sharedStrings" Target="/xl/sharedStrings.xml" Id="Ra317b2b28b474335" /><Relationship Type="http://schemas.openxmlformats.org/officeDocument/2006/relationships/worksheet" Target="/xl/worksheets/sheet1.xml" Id="R3d8f42ad388d45b5" /><Relationship Type="http://schemas.openxmlformats.org/officeDocument/2006/relationships/worksheet" Target="/xl/worksheets/sheet2.xml" Id="R6bb3e343facd4ed0" /><Relationship Type="http://schemas.openxmlformats.org/officeDocument/2006/relationships/worksheet" Target="/xl/worksheets/sheet3.xml" Id="Rd13f85b273704242" /><Relationship Type="http://schemas.openxmlformats.org/officeDocument/2006/relationships/worksheet" Target="/xl/worksheets/sheet4.xml" Id="Rfb8cbd7a8aa24568" /><Relationship Type="http://schemas.openxmlformats.org/officeDocument/2006/relationships/worksheet" Target="/xl/worksheets/sheet5.xml" Id="Rad4dcc9815ac4aea" /><Relationship Type="http://schemas.openxmlformats.org/officeDocument/2006/relationships/worksheet" Target="/xl/worksheets/sheet6.xml" Id="Rf69b9973c81f46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48" hidden="0" customWidth="1"/>
    <x:col min="5" max="5" width="18" hidden="0" customWidth="1"/>
    <x:col min="6" max="6" width="42" hidden="0" customWidth="1"/>
  </x:cols>
  <x:sheetData>
    <x:row r="1">
      <x:c r="A1" s="28" t="str">
        <x:v>Saudi MarCom Proposal Pricing Model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14" t="str">
        <x:v>Input</x:v>
      </x:c>
      <x:c r="B3" s="14" t="str">
        <x:v>Value</x:v>
      </x:c>
      <x:c r="C3" s="14" t="str">
        <x:v>Unit</x:v>
      </x:c>
      <x:c r="D3" s="14" t="str">
        <x:v>Source / Authority</x:v>
      </x:c>
      <x:c r="E3" s="14" t="str">
        <x:v>Checked / Quoted</x:v>
      </x:c>
      <x:c r="F3" s="14" t="str">
        <x:v>Notes</x:v>
      </x:c>
    </x:row>
    <x:row r="4">
      <x:c r="A4" s="29" t="str">
        <x:v>Proposal / Project</x:v>
      </x:c>
      <x:c r="B4" s="30" t="str"/>
      <x:c r="C4" s="29" t="str">
        <x:v>text</x:v>
      </x:c>
      <x:c r="D4" s="29" t="str">
        <x:v>Current bid / user input</x:v>
      </x:c>
      <x:c r="E4" s="29" t="str"/>
      <x:c r="F4" s="29" t="str"/>
    </x:row>
    <x:row r="5">
      <x:c r="A5" s="29" t="str">
        <x:v>Buyer</x:v>
      </x:c>
      <x:c r="B5" s="30" t="str"/>
      <x:c r="C5" s="29" t="str">
        <x:v>text</x:v>
      </x:c>
      <x:c r="D5" s="29" t="str">
        <x:v>Current bid / user input</x:v>
      </x:c>
      <x:c r="E5" s="29" t="str"/>
      <x:c r="F5" s="29" t="str"/>
    </x:row>
    <x:row r="6">
      <x:c r="A6" s="29" t="str">
        <x:v>Currency</x:v>
      </x:c>
      <x:c r="B6" s="30" t="str">
        <x:v>SAR</x:v>
      </x:c>
      <x:c r="C6" s="29" t="str">
        <x:v>currency</x:v>
      </x:c>
      <x:c r="D6" s="29" t="str">
        <x:v>Current bid / user input</x:v>
      </x:c>
      <x:c r="E6" s="29" t="str"/>
      <x:c r="F6" s="29" t="str">
        <x:v>Default display only</x:v>
      </x:c>
    </x:row>
    <x:row r="7">
      <x:c r="A7" s="29" t="str">
        <x:v>VAT Rate</x:v>
      </x:c>
      <x:c r="B7" s="31" t="n">
        <x:v>0.15</x:v>
      </x:c>
      <x:c r="C7" s="29" t="str">
        <x:v>%</x:v>
      </x:c>
      <x:c r="D7" s="29" t="str">
        <x:v>https://zatca.gov.sa/en/RulesRegulations/VAT/Pages/default.aspx</x:v>
      </x:c>
      <x:c r="E7" s="29" t="str">
        <x:v>2026-09-19</x:v>
      </x:c>
      <x:c r="F7" s="29" t="str">
        <x:v>Verify bid-specific treatment</x:v>
      </x:c>
    </x:row>
    <x:row r="8">
      <x:c r="A8" s="29" t="str">
        <x:v>Overhead Rate</x:v>
      </x:c>
      <x:c r="B8" s="31" t="n">
        <x:v>0</x:v>
      </x:c>
      <x:c r="C8" s="29" t="str">
        <x:v>%</x:v>
      </x:c>
      <x:c r="D8" s="29" t="str">
        <x:v>Approved company commercial policy</x:v>
      </x:c>
      <x:c r="E8" s="29" t="str"/>
      <x:c r="F8" s="29" t="str">
        <x:v>Leave 0 until authorized</x:v>
      </x:c>
    </x:row>
    <x:row r="9">
      <x:c r="A9" s="29" t="str">
        <x:v>Risk Allowance</x:v>
      </x:c>
      <x:c r="B9" s="31" t="n">
        <x:v>0</x:v>
      </x:c>
      <x:c r="C9" s="29" t="str">
        <x:v>%</x:v>
      </x:c>
      <x:c r="D9" s="29" t="str">
        <x:v>Approved company commercial policy</x:v>
      </x:c>
      <x:c r="E9" s="29" t="str"/>
      <x:c r="F9" s="29" t="str">
        <x:v>Leave 0 until authorized</x:v>
      </x:c>
    </x:row>
    <x:row r="10">
      <x:c r="A10" s="29" t="str">
        <x:v>Target Gross Margin</x:v>
      </x:c>
      <x:c r="B10" s="31" t="n">
        <x:v>0</x:v>
      </x:c>
      <x:c r="C10" s="29" t="str">
        <x:v>%</x:v>
      </x:c>
      <x:c r="D10" s="29" t="str">
        <x:v>Approved company commercial policy</x:v>
      </x:c>
      <x:c r="E10" s="29" t="str"/>
      <x:c r="F10" s="29" t="str">
        <x:v>Leave 0 until authorized</x:v>
      </x:c>
    </x:row>
    <x:row r="11">
      <x:c r="A11" s="29" t="str">
        <x:v>Discount</x:v>
      </x:c>
      <x:c r="B11" s="31" t="n">
        <x:v>0</x:v>
      </x:c>
      <x:c r="C11" s="29" t="str">
        <x:v>%</x:v>
      </x:c>
      <x:c r="D11" s="29" t="str">
        <x:v>Approved commercial approval</x:v>
      </x:c>
      <x:c r="E11" s="29" t="str"/>
      <x:c r="F11" s="29" t="str">
        <x:v>Optional</x:v>
      </x:c>
    </x:row>
    <x:row r="12">
      <x:c r="A12" s="29" t="str">
        <x:v>Offer Validity</x:v>
      </x:c>
      <x:c r="B12" s="32" t="n">
        <x:v>30</x:v>
      </x:c>
      <x:c r="C12" s="29" t="str">
        <x:v>days</x:v>
      </x:c>
      <x:c r="D12" s="29" t="str">
        <x:v>Current RFP / commercial policy</x:v>
      </x:c>
      <x:c r="E12" s="29" t="str"/>
      <x:c r="F12" s="29" t="str">
        <x:v>Replace with buyer requirement</x:v>
      </x:c>
    </x:row>
    <x:row r="13">
      <x:c r="A13" s="29" t="str">
        <x:v>Technical Proposal Version</x:v>
      </x:c>
      <x:c r="B13" s="30" t="str">
        <x:v>v0.1</x:v>
      </x:c>
      <x:c r="C13" s="29" t="str">
        <x:v>text</x:v>
      </x:c>
      <x:c r="D13" s="29" t="str">
        <x:v>Current working package</x:v>
      </x:c>
      <x:c r="E13" s="29" t="str"/>
      <x:c r="F13" s="29" t="str"/>
    </x:row>
    <x:row r="14">
      <x:c r="A14" s="29" t="str">
        <x:v>Pricing Status</x:v>
      </x:c>
      <x:c r="B14" s="30" t="str">
        <x:v>PRICING INPUT REQUIRED</x:v>
      </x:c>
      <x:c r="C14" s="29" t="str">
        <x:v>status</x:v>
      </x:c>
      <x:c r="D14" s="29" t="str">
        <x:v>Model control</x:v>
      </x:c>
      <x:c r="E14" s="29" t="str"/>
      <x:c r="F14" s="29" t="str">
        <x:v>Change only when inputs are grounded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0" hidden="0" customWidth="1"/>
    <x:col min="5" max="5" width="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18" hidden="0" customWidth="1"/>
    <x:col min="13" max="13" width="14" hidden="0" customWidth="1"/>
    <x:col min="14" max="14" width="22" hidden="0" customWidth="1"/>
    <x:col min="15" max="15" width="20" hidden="0" customWidth="1"/>
    <x:col min="16" max="16" width="15" hidden="0" customWidth="1"/>
    <x:col min="17" max="17" width="18" hidden="0" customWidth="1"/>
    <x:col min="18" max="18" width="34" hidden="0" customWidth="1"/>
    <x:col min="19" max="19" width="22" hidden="0" customWidth="1"/>
  </x:cols>
  <x:sheetData>
    <x:row r="1">
      <x:c r="A1" s="5" t="str">
        <x:v>Internal Pricing Engine - Do not submit this sheet to the buyer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3">
      <x:c r="A3" s="14" t="str">
        <x:v>Price Line ID</x:v>
      </x:c>
      <x:c r="B3" s="14" t="str">
        <x:v>Category</x:v>
      </x:c>
      <x:c r="C3" s="14" t="str">
        <x:v>Deliverable</x:v>
      </x:c>
      <x:c r="D3" s="14" t="str">
        <x:v>Unit</x:v>
      </x:c>
      <x:c r="E3" s="14" t="str">
        <x:v>Qty</x:v>
      </x:c>
      <x:c r="F3" s="14" t="str">
        <x:v>Labor Cost / Unit (SAR)</x:v>
      </x:c>
      <x:c r="G3" s="14" t="str">
        <x:v>Vendor Cost / Unit (SAR)</x:v>
      </x:c>
      <x:c r="H3" s="14" t="str">
        <x:v>Other Direct / Unit (SAR)</x:v>
      </x:c>
      <x:c r="I3" s="14" t="str">
        <x:v>Direct Cost (SAR)</x:v>
      </x:c>
      <x:c r="J3" s="14" t="str">
        <x:v>Overhead %</x:v>
      </x:c>
      <x:c r="K3" s="14" t="str">
        <x:v>Risk %</x:v>
      </x:c>
      <x:c r="L3" s="14" t="str">
        <x:v>Loaded Cost (SAR)</x:v>
      </x:c>
      <x:c r="M3" s="14" t="str">
        <x:v>Target Margin %</x:v>
      </x:c>
      <x:c r="N3" s="14" t="str">
        <x:v>Quote Unit Price ex VAT (SAR)</x:v>
      </x:c>
      <x:c r="O3" s="14" t="str">
        <x:v>Line Total ex VAT (SAR)</x:v>
      </x:c>
      <x:c r="P3" s="14" t="str">
        <x:v>VAT (SAR)</x:v>
      </x:c>
      <x:c r="Q3" s="14" t="str">
        <x:v>Total inc VAT (SAR)</x:v>
      </x:c>
      <x:c r="R3" s="14" t="str">
        <x:v>Cost / Quote Source</x:v>
      </x:c>
      <x:c r="S3" s="14" t="str">
        <x:v>Status</x:v>
      </x:c>
    </x:row>
    <x:row r="4">
      <x:c r="A4" s="29" t="str">
        <x:v>P-001</x:v>
      </x:c>
      <x:c r="B4" s="54" t="str"/>
      <x:c r="C4" s="54" t="str"/>
      <x:c r="D4" s="54" t="str"/>
      <x:c r="E4" s="32" t="str"/>
      <x:c r="F4" s="55" t="n">
        <x:v>0</x:v>
      </x:c>
      <x:c r="G4" s="55" t="n">
        <x:v>0</x:v>
      </x:c>
      <x:c r="H4" s="55" t="n">
        <x:v>0</x:v>
      </x:c>
      <x:c r="I4" s="56" t="n">
        <x:f>E4*(F4+G4+H4)</x:f>
        <x:v>0</x:v>
      </x:c>
      <x:c r="J4" s="57" t="n">
        <x:f>Inputs!$B$8</x:f>
        <x:v>0</x:v>
      </x:c>
      <x:c r="K4" s="57" t="n">
        <x:f>Inputs!$B$9</x:f>
        <x:v>0</x:v>
      </x:c>
      <x:c r="L4" s="58" t="n">
        <x:f>I4*(1+J4+K4)</x:f>
        <x:v>0</x:v>
      </x:c>
      <x:c r="M4" s="57" t="n">
        <x:f>Inputs!$B$10</x:f>
        <x:v>0</x:v>
      </x:c>
      <x:c r="N4" s="56" t="n">
        <x:f>IF(OR(S4="EXCLUDED",S4="CLIENT SUPPLIED"),0,IF(M4&gt;=1,0,L4/(1-M4)))</x:f>
        <x:v>0</x:v>
      </x:c>
      <x:c r="O4" s="56" t="n">
        <x:f>E4*N4*(1-Inputs!$B$11)</x:f>
        <x:v>0</x:v>
      </x:c>
      <x:c r="P4" s="56" t="n">
        <x:f>O4*Inputs!$B$7</x:f>
        <x:v>0</x:v>
      </x:c>
      <x:c r="Q4" s="56" t="n">
        <x:f>O4+P4</x:f>
        <x:v>0</x:v>
      </x:c>
      <x:c r="R4" s="54" t="str"/>
      <x:c r="S4" s="54" t="str">
        <x:v>PRICING INPUT REQUIRED</x:v>
      </x:c>
    </x:row>
    <x:row r="5">
      <x:c r="A5" s="29" t="str">
        <x:v>P-002</x:v>
      </x:c>
      <x:c r="B5" s="54" t="str"/>
      <x:c r="C5" s="54" t="str"/>
      <x:c r="D5" s="54" t="str"/>
      <x:c r="E5" s="32" t="str"/>
      <x:c r="F5" s="55" t="n">
        <x:v>0</x:v>
      </x:c>
      <x:c r="G5" s="55" t="n">
        <x:v>0</x:v>
      </x:c>
      <x:c r="H5" s="55" t="n">
        <x:v>0</x:v>
      </x:c>
      <x:c r="I5" s="56" t="n">
        <x:f>E5*(F5+G5+H5)</x:f>
        <x:v>0</x:v>
      </x:c>
      <x:c r="J5" s="57" t="n">
        <x:f>Inputs!$B$8</x:f>
        <x:v>0</x:v>
      </x:c>
      <x:c r="K5" s="57" t="n">
        <x:f>Inputs!$B$9</x:f>
        <x:v>0</x:v>
      </x:c>
      <x:c r="L5" s="58" t="n">
        <x:f>I5*(1+J5+K5)</x:f>
        <x:v>0</x:v>
      </x:c>
      <x:c r="M5" s="57" t="n">
        <x:f>Inputs!$B$10</x:f>
        <x:v>0</x:v>
      </x:c>
      <x:c r="N5" s="56" t="n">
        <x:f>IF(OR(S5="EXCLUDED",S5="CLIENT SUPPLIED"),0,IF(M5&gt;=1,0,L5/(1-M5)))</x:f>
        <x:v>0</x:v>
      </x:c>
      <x:c r="O5" s="56" t="n">
        <x:f>E5*N5*(1-Inputs!$B$11)</x:f>
        <x:v>0</x:v>
      </x:c>
      <x:c r="P5" s="56" t="n">
        <x:f>O5*Inputs!$B$7</x:f>
        <x:v>0</x:v>
      </x:c>
      <x:c r="Q5" s="56" t="n">
        <x:f>O5+P5</x:f>
        <x:v>0</x:v>
      </x:c>
      <x:c r="R5" s="54" t="str"/>
      <x:c r="S5" s="54" t="str">
        <x:v>PRICING INPUT REQUIRED</x:v>
      </x:c>
    </x:row>
    <x:row r="6">
      <x:c r="A6" s="29" t="str">
        <x:v>P-003</x:v>
      </x:c>
      <x:c r="B6" s="54" t="str"/>
      <x:c r="C6" s="54" t="str"/>
      <x:c r="D6" s="54" t="str"/>
      <x:c r="E6" s="32" t="str"/>
      <x:c r="F6" s="55" t="n">
        <x:v>0</x:v>
      </x:c>
      <x:c r="G6" s="55" t="n">
        <x:v>0</x:v>
      </x:c>
      <x:c r="H6" s="55" t="n">
        <x:v>0</x:v>
      </x:c>
      <x:c r="I6" s="56" t="n">
        <x:f>E6*(F6+G6+H6)</x:f>
        <x:v>0</x:v>
      </x:c>
      <x:c r="J6" s="57" t="n">
        <x:f>Inputs!$B$8</x:f>
        <x:v>0</x:v>
      </x:c>
      <x:c r="K6" s="57" t="n">
        <x:f>Inputs!$B$9</x:f>
        <x:v>0</x:v>
      </x:c>
      <x:c r="L6" s="58" t="n">
        <x:f>I6*(1+J6+K6)</x:f>
        <x:v>0</x:v>
      </x:c>
      <x:c r="M6" s="57" t="n">
        <x:f>Inputs!$B$10</x:f>
        <x:v>0</x:v>
      </x:c>
      <x:c r="N6" s="56" t="n">
        <x:f>IF(OR(S6="EXCLUDED",S6="CLIENT SUPPLIED"),0,IF(M6&gt;=1,0,L6/(1-M6)))</x:f>
        <x:v>0</x:v>
      </x:c>
      <x:c r="O6" s="56" t="n">
        <x:f>E6*N6*(1-Inputs!$B$11)</x:f>
        <x:v>0</x:v>
      </x:c>
      <x:c r="P6" s="56" t="n">
        <x:f>O6*Inputs!$B$7</x:f>
        <x:v>0</x:v>
      </x:c>
      <x:c r="Q6" s="56" t="n">
        <x:f>O6+P6</x:f>
        <x:v>0</x:v>
      </x:c>
      <x:c r="R6" s="54" t="str"/>
      <x:c r="S6" s="54" t="str">
        <x:v>PRICING INPUT REQUIRED</x:v>
      </x:c>
    </x:row>
    <x:row r="7">
      <x:c r="A7" s="29" t="str">
        <x:v>P-004</x:v>
      </x:c>
      <x:c r="B7" s="54" t="str"/>
      <x:c r="C7" s="54" t="str"/>
      <x:c r="D7" s="54" t="str"/>
      <x:c r="E7" s="32" t="str"/>
      <x:c r="F7" s="55" t="n">
        <x:v>0</x:v>
      </x:c>
      <x:c r="G7" s="55" t="n">
        <x:v>0</x:v>
      </x:c>
      <x:c r="H7" s="55" t="n">
        <x:v>0</x:v>
      </x:c>
      <x:c r="I7" s="56" t="n">
        <x:f>E7*(F7+G7+H7)</x:f>
        <x:v>0</x:v>
      </x:c>
      <x:c r="J7" s="57" t="n">
        <x:f>Inputs!$B$8</x:f>
        <x:v>0</x:v>
      </x:c>
      <x:c r="K7" s="57" t="n">
        <x:f>Inputs!$B$9</x:f>
        <x:v>0</x:v>
      </x:c>
      <x:c r="L7" s="58" t="n">
        <x:f>I7*(1+J7+K7)</x:f>
        <x:v>0</x:v>
      </x:c>
      <x:c r="M7" s="57" t="n">
        <x:f>Inputs!$B$10</x:f>
        <x:v>0</x:v>
      </x:c>
      <x:c r="N7" s="56" t="n">
        <x:f>IF(OR(S7="EXCLUDED",S7="CLIENT SUPPLIED"),0,IF(M7&gt;=1,0,L7/(1-M7)))</x:f>
        <x:v>0</x:v>
      </x:c>
      <x:c r="O7" s="56" t="n">
        <x:f>E7*N7*(1-Inputs!$B$11)</x:f>
        <x:v>0</x:v>
      </x:c>
      <x:c r="P7" s="56" t="n">
        <x:f>O7*Inputs!$B$7</x:f>
        <x:v>0</x:v>
      </x:c>
      <x:c r="Q7" s="56" t="n">
        <x:f>O7+P7</x:f>
        <x:v>0</x:v>
      </x:c>
      <x:c r="R7" s="54" t="str"/>
      <x:c r="S7" s="54" t="str">
        <x:v>PRICING INPUT REQUIRED</x:v>
      </x:c>
    </x:row>
    <x:row r="8">
      <x:c r="A8" s="29" t="str">
        <x:v>P-005</x:v>
      </x:c>
      <x:c r="B8" s="54" t="str"/>
      <x:c r="C8" s="54" t="str"/>
      <x:c r="D8" s="54" t="str"/>
      <x:c r="E8" s="32" t="str"/>
      <x:c r="F8" s="55" t="n">
        <x:v>0</x:v>
      </x:c>
      <x:c r="G8" s="55" t="n">
        <x:v>0</x:v>
      </x:c>
      <x:c r="H8" s="55" t="n">
        <x:v>0</x:v>
      </x:c>
      <x:c r="I8" s="56" t="n">
        <x:f>E8*(F8+G8+H8)</x:f>
        <x:v>0</x:v>
      </x:c>
      <x:c r="J8" s="57" t="n">
        <x:f>Inputs!$B$8</x:f>
        <x:v>0</x:v>
      </x:c>
      <x:c r="K8" s="57" t="n">
        <x:f>Inputs!$B$9</x:f>
        <x:v>0</x:v>
      </x:c>
      <x:c r="L8" s="58" t="n">
        <x:f>I8*(1+J8+K8)</x:f>
        <x:v>0</x:v>
      </x:c>
      <x:c r="M8" s="57" t="n">
        <x:f>Inputs!$B$10</x:f>
        <x:v>0</x:v>
      </x:c>
      <x:c r="N8" s="56" t="n">
        <x:f>IF(OR(S8="EXCLUDED",S8="CLIENT SUPPLIED"),0,IF(M8&gt;=1,0,L8/(1-M8)))</x:f>
        <x:v>0</x:v>
      </x:c>
      <x:c r="O8" s="56" t="n">
        <x:f>E8*N8*(1-Inputs!$B$11)</x:f>
        <x:v>0</x:v>
      </x:c>
      <x:c r="P8" s="56" t="n">
        <x:f>O8*Inputs!$B$7</x:f>
        <x:v>0</x:v>
      </x:c>
      <x:c r="Q8" s="56" t="n">
        <x:f>O8+P8</x:f>
        <x:v>0</x:v>
      </x:c>
      <x:c r="R8" s="54" t="str"/>
      <x:c r="S8" s="54" t="str">
        <x:v>PRICING INPUT REQUIRED</x:v>
      </x:c>
    </x:row>
    <x:row r="9">
      <x:c r="A9" s="29" t="str">
        <x:v>P-006</x:v>
      </x:c>
      <x:c r="B9" s="54" t="str"/>
      <x:c r="C9" s="54" t="str"/>
      <x:c r="D9" s="54" t="str"/>
      <x:c r="E9" s="32" t="str"/>
      <x:c r="F9" s="55" t="n">
        <x:v>0</x:v>
      </x:c>
      <x:c r="G9" s="55" t="n">
        <x:v>0</x:v>
      </x:c>
      <x:c r="H9" s="55" t="n">
        <x:v>0</x:v>
      </x:c>
      <x:c r="I9" s="56" t="n">
        <x:f>E9*(F9+G9+H9)</x:f>
        <x:v>0</x:v>
      </x:c>
      <x:c r="J9" s="57" t="n">
        <x:f>Inputs!$B$8</x:f>
        <x:v>0</x:v>
      </x:c>
      <x:c r="K9" s="57" t="n">
        <x:f>Inputs!$B$9</x:f>
        <x:v>0</x:v>
      </x:c>
      <x:c r="L9" s="58" t="n">
        <x:f>I9*(1+J9+K9)</x:f>
        <x:v>0</x:v>
      </x:c>
      <x:c r="M9" s="57" t="n">
        <x:f>Inputs!$B$10</x:f>
        <x:v>0</x:v>
      </x:c>
      <x:c r="N9" s="56" t="n">
        <x:f>IF(OR(S9="EXCLUDED",S9="CLIENT SUPPLIED"),0,IF(M9&gt;=1,0,L9/(1-M9)))</x:f>
        <x:v>0</x:v>
      </x:c>
      <x:c r="O9" s="56" t="n">
        <x:f>E9*N9*(1-Inputs!$B$11)</x:f>
        <x:v>0</x:v>
      </x:c>
      <x:c r="P9" s="56" t="n">
        <x:f>O9*Inputs!$B$7</x:f>
        <x:v>0</x:v>
      </x:c>
      <x:c r="Q9" s="56" t="n">
        <x:f>O9+P9</x:f>
        <x:v>0</x:v>
      </x:c>
      <x:c r="R9" s="54" t="str"/>
      <x:c r="S9" s="54" t="str">
        <x:v>PRICING INPUT REQUIRED</x:v>
      </x:c>
    </x:row>
    <x:row r="10">
      <x:c r="A10" s="29" t="str">
        <x:v>P-007</x:v>
      </x:c>
      <x:c r="B10" s="54" t="str"/>
      <x:c r="C10" s="54" t="str"/>
      <x:c r="D10" s="54" t="str"/>
      <x:c r="E10" s="32" t="str"/>
      <x:c r="F10" s="55" t="n">
        <x:v>0</x:v>
      </x:c>
      <x:c r="G10" s="55" t="n">
        <x:v>0</x:v>
      </x:c>
      <x:c r="H10" s="55" t="n">
        <x:v>0</x:v>
      </x:c>
      <x:c r="I10" s="56" t="n">
        <x:f>E10*(F10+G10+H10)</x:f>
        <x:v>0</x:v>
      </x:c>
      <x:c r="J10" s="57" t="n">
        <x:f>Inputs!$B$8</x:f>
        <x:v>0</x:v>
      </x:c>
      <x:c r="K10" s="57" t="n">
        <x:f>Inputs!$B$9</x:f>
        <x:v>0</x:v>
      </x:c>
      <x:c r="L10" s="58" t="n">
        <x:f>I10*(1+J10+K10)</x:f>
        <x:v>0</x:v>
      </x:c>
      <x:c r="M10" s="57" t="n">
        <x:f>Inputs!$B$10</x:f>
        <x:v>0</x:v>
      </x:c>
      <x:c r="N10" s="56" t="n">
        <x:f>IF(OR(S10="EXCLUDED",S10="CLIENT SUPPLIED"),0,IF(M10&gt;=1,0,L10/(1-M10)))</x:f>
        <x:v>0</x:v>
      </x:c>
      <x:c r="O10" s="56" t="n">
        <x:f>E10*N10*(1-Inputs!$B$11)</x:f>
        <x:v>0</x:v>
      </x:c>
      <x:c r="P10" s="56" t="n">
        <x:f>O10*Inputs!$B$7</x:f>
        <x:v>0</x:v>
      </x:c>
      <x:c r="Q10" s="56" t="n">
        <x:f>O10+P10</x:f>
        <x:v>0</x:v>
      </x:c>
      <x:c r="R10" s="54" t="str"/>
      <x:c r="S10" s="54" t="str">
        <x:v>PRICING INPUT REQUIRED</x:v>
      </x:c>
    </x:row>
    <x:row r="11">
      <x:c r="A11" s="29" t="str">
        <x:v>P-008</x:v>
      </x:c>
      <x:c r="B11" s="54" t="str"/>
      <x:c r="C11" s="54" t="str"/>
      <x:c r="D11" s="54" t="str"/>
      <x:c r="E11" s="32" t="str"/>
      <x:c r="F11" s="55" t="n">
        <x:v>0</x:v>
      </x:c>
      <x:c r="G11" s="55" t="n">
        <x:v>0</x:v>
      </x:c>
      <x:c r="H11" s="55" t="n">
        <x:v>0</x:v>
      </x:c>
      <x:c r="I11" s="56" t="n">
        <x:f>E11*(F11+G11+H11)</x:f>
        <x:v>0</x:v>
      </x:c>
      <x:c r="J11" s="57" t="n">
        <x:f>Inputs!$B$8</x:f>
        <x:v>0</x:v>
      </x:c>
      <x:c r="K11" s="57" t="n">
        <x:f>Inputs!$B$9</x:f>
        <x:v>0</x:v>
      </x:c>
      <x:c r="L11" s="58" t="n">
        <x:f>I11*(1+J11+K11)</x:f>
        <x:v>0</x:v>
      </x:c>
      <x:c r="M11" s="57" t="n">
        <x:f>Inputs!$B$10</x:f>
        <x:v>0</x:v>
      </x:c>
      <x:c r="N11" s="56" t="n">
        <x:f>IF(OR(S11="EXCLUDED",S11="CLIENT SUPPLIED"),0,IF(M11&gt;=1,0,L11/(1-M11)))</x:f>
        <x:v>0</x:v>
      </x:c>
      <x:c r="O11" s="56" t="n">
        <x:f>E11*N11*(1-Inputs!$B$11)</x:f>
        <x:v>0</x:v>
      </x:c>
      <x:c r="P11" s="56" t="n">
        <x:f>O11*Inputs!$B$7</x:f>
        <x:v>0</x:v>
      </x:c>
      <x:c r="Q11" s="56" t="n">
        <x:f>O11+P11</x:f>
        <x:v>0</x:v>
      </x:c>
      <x:c r="R11" s="54" t="str"/>
      <x:c r="S11" s="54" t="str">
        <x:v>PRICING INPUT REQUIRED</x:v>
      </x:c>
    </x:row>
    <x:row r="12">
      <x:c r="A12" s="29" t="str">
        <x:v>P-009</x:v>
      </x:c>
      <x:c r="B12" s="54" t="str"/>
      <x:c r="C12" s="54" t="str"/>
      <x:c r="D12" s="54" t="str"/>
      <x:c r="E12" s="32" t="str"/>
      <x:c r="F12" s="55" t="n">
        <x:v>0</x:v>
      </x:c>
      <x:c r="G12" s="55" t="n">
        <x:v>0</x:v>
      </x:c>
      <x:c r="H12" s="55" t="n">
        <x:v>0</x:v>
      </x:c>
      <x:c r="I12" s="56" t="n">
        <x:f>E12*(F12+G12+H12)</x:f>
        <x:v>0</x:v>
      </x:c>
      <x:c r="J12" s="57" t="n">
        <x:f>Inputs!$B$8</x:f>
        <x:v>0</x:v>
      </x:c>
      <x:c r="K12" s="57" t="n">
        <x:f>Inputs!$B$9</x:f>
        <x:v>0</x:v>
      </x:c>
      <x:c r="L12" s="58" t="n">
        <x:f>I12*(1+J12+K12)</x:f>
        <x:v>0</x:v>
      </x:c>
      <x:c r="M12" s="57" t="n">
        <x:f>Inputs!$B$10</x:f>
        <x:v>0</x:v>
      </x:c>
      <x:c r="N12" s="56" t="n">
        <x:f>IF(OR(S12="EXCLUDED",S12="CLIENT SUPPLIED"),0,IF(M12&gt;=1,0,L12/(1-M12)))</x:f>
        <x:v>0</x:v>
      </x:c>
      <x:c r="O12" s="56" t="n">
        <x:f>E12*N12*(1-Inputs!$B$11)</x:f>
        <x:v>0</x:v>
      </x:c>
      <x:c r="P12" s="56" t="n">
        <x:f>O12*Inputs!$B$7</x:f>
        <x:v>0</x:v>
      </x:c>
      <x:c r="Q12" s="56" t="n">
        <x:f>O12+P12</x:f>
        <x:v>0</x:v>
      </x:c>
      <x:c r="R12" s="54" t="str"/>
      <x:c r="S12" s="54" t="str">
        <x:v>PRICING INPUT REQUIRED</x:v>
      </x:c>
    </x:row>
    <x:row r="13">
      <x:c r="A13" s="29" t="str">
        <x:v>P-010</x:v>
      </x:c>
      <x:c r="B13" s="54" t="str"/>
      <x:c r="C13" s="54" t="str"/>
      <x:c r="D13" s="54" t="str"/>
      <x:c r="E13" s="32" t="str"/>
      <x:c r="F13" s="55" t="n">
        <x:v>0</x:v>
      </x:c>
      <x:c r="G13" s="55" t="n">
        <x:v>0</x:v>
      </x:c>
      <x:c r="H13" s="55" t="n">
        <x:v>0</x:v>
      </x:c>
      <x:c r="I13" s="56" t="n">
        <x:f>E13*(F13+G13+H13)</x:f>
        <x:v>0</x:v>
      </x:c>
      <x:c r="J13" s="57" t="n">
        <x:f>Inputs!$B$8</x:f>
        <x:v>0</x:v>
      </x:c>
      <x:c r="K13" s="57" t="n">
        <x:f>Inputs!$B$9</x:f>
        <x:v>0</x:v>
      </x:c>
      <x:c r="L13" s="58" t="n">
        <x:f>I13*(1+J13+K13)</x:f>
        <x:v>0</x:v>
      </x:c>
      <x:c r="M13" s="57" t="n">
        <x:f>Inputs!$B$10</x:f>
        <x:v>0</x:v>
      </x:c>
      <x:c r="N13" s="56" t="n">
        <x:f>IF(OR(S13="EXCLUDED",S13="CLIENT SUPPLIED"),0,IF(M13&gt;=1,0,L13/(1-M13)))</x:f>
        <x:v>0</x:v>
      </x:c>
      <x:c r="O13" s="56" t="n">
        <x:f>E13*N13*(1-Inputs!$B$11)</x:f>
        <x:v>0</x:v>
      </x:c>
      <x:c r="P13" s="56" t="n">
        <x:f>O13*Inputs!$B$7</x:f>
        <x:v>0</x:v>
      </x:c>
      <x:c r="Q13" s="56" t="n">
        <x:f>O13+P13</x:f>
        <x:v>0</x:v>
      </x:c>
      <x:c r="R13" s="54" t="str"/>
      <x:c r="S13" s="54" t="str">
        <x:v>PRICING INPUT REQUIRED</x:v>
      </x:c>
    </x:row>
    <x:row r="14">
      <x:c r="A14" s="29" t="str">
        <x:v>P-011</x:v>
      </x:c>
      <x:c r="B14" s="54" t="str"/>
      <x:c r="C14" s="54" t="str"/>
      <x:c r="D14" s="54" t="str"/>
      <x:c r="E14" s="32" t="str"/>
      <x:c r="F14" s="55" t="n">
        <x:v>0</x:v>
      </x:c>
      <x:c r="G14" s="55" t="n">
        <x:v>0</x:v>
      </x:c>
      <x:c r="H14" s="55" t="n">
        <x:v>0</x:v>
      </x:c>
      <x:c r="I14" s="56" t="n">
        <x:f>E14*(F14+G14+H14)</x:f>
        <x:v>0</x:v>
      </x:c>
      <x:c r="J14" s="57" t="n">
        <x:f>Inputs!$B$8</x:f>
        <x:v>0</x:v>
      </x:c>
      <x:c r="K14" s="57" t="n">
        <x:f>Inputs!$B$9</x:f>
        <x:v>0</x:v>
      </x:c>
      <x:c r="L14" s="58" t="n">
        <x:f>I14*(1+J14+K14)</x:f>
        <x:v>0</x:v>
      </x:c>
      <x:c r="M14" s="57" t="n">
        <x:f>Inputs!$B$10</x:f>
        <x:v>0</x:v>
      </x:c>
      <x:c r="N14" s="56" t="n">
        <x:f>IF(OR(S14="EXCLUDED",S14="CLIENT SUPPLIED"),0,IF(M14&gt;=1,0,L14/(1-M14)))</x:f>
        <x:v>0</x:v>
      </x:c>
      <x:c r="O14" s="56" t="n">
        <x:f>E14*N14*(1-Inputs!$B$11)</x:f>
        <x:v>0</x:v>
      </x:c>
      <x:c r="P14" s="56" t="n">
        <x:f>O14*Inputs!$B$7</x:f>
        <x:v>0</x:v>
      </x:c>
      <x:c r="Q14" s="56" t="n">
        <x:f>O14+P14</x:f>
        <x:v>0</x:v>
      </x:c>
      <x:c r="R14" s="54" t="str"/>
      <x:c r="S14" s="54" t="str">
        <x:v>PRICING INPUT REQUIRED</x:v>
      </x:c>
    </x:row>
    <x:row r="15">
      <x:c r="A15" s="29" t="str">
        <x:v>P-012</x:v>
      </x:c>
      <x:c r="B15" s="54" t="str"/>
      <x:c r="C15" s="54" t="str"/>
      <x:c r="D15" s="54" t="str"/>
      <x:c r="E15" s="32" t="str"/>
      <x:c r="F15" s="55" t="n">
        <x:v>0</x:v>
      </x:c>
      <x:c r="G15" s="55" t="n">
        <x:v>0</x:v>
      </x:c>
      <x:c r="H15" s="55" t="n">
        <x:v>0</x:v>
      </x:c>
      <x:c r="I15" s="56" t="n">
        <x:f>E15*(F15+G15+H15)</x:f>
        <x:v>0</x:v>
      </x:c>
      <x:c r="J15" s="57" t="n">
        <x:f>Inputs!$B$8</x:f>
        <x:v>0</x:v>
      </x:c>
      <x:c r="K15" s="57" t="n">
        <x:f>Inputs!$B$9</x:f>
        <x:v>0</x:v>
      </x:c>
      <x:c r="L15" s="58" t="n">
        <x:f>I15*(1+J15+K15)</x:f>
        <x:v>0</x:v>
      </x:c>
      <x:c r="M15" s="57" t="n">
        <x:f>Inputs!$B$10</x:f>
        <x:v>0</x:v>
      </x:c>
      <x:c r="N15" s="56" t="n">
        <x:f>IF(OR(S15="EXCLUDED",S15="CLIENT SUPPLIED"),0,IF(M15&gt;=1,0,L15/(1-M15)))</x:f>
        <x:v>0</x:v>
      </x:c>
      <x:c r="O15" s="56" t="n">
        <x:f>E15*N15*(1-Inputs!$B$11)</x:f>
        <x:v>0</x:v>
      </x:c>
      <x:c r="P15" s="56" t="n">
        <x:f>O15*Inputs!$B$7</x:f>
        <x:v>0</x:v>
      </x:c>
      <x:c r="Q15" s="56" t="n">
        <x:f>O15+P15</x:f>
        <x:v>0</x:v>
      </x:c>
      <x:c r="R15" s="54" t="str"/>
      <x:c r="S15" s="54" t="str">
        <x:v>PRICING INPUT REQUIRED</x:v>
      </x:c>
    </x:row>
    <x:row r="16">
      <x:c r="A16" s="29" t="str">
        <x:v>P-013</x:v>
      </x:c>
      <x:c r="B16" s="54" t="str"/>
      <x:c r="C16" s="54" t="str"/>
      <x:c r="D16" s="54" t="str"/>
      <x:c r="E16" s="32" t="str"/>
      <x:c r="F16" s="55" t="n">
        <x:v>0</x:v>
      </x:c>
      <x:c r="G16" s="55" t="n">
        <x:v>0</x:v>
      </x:c>
      <x:c r="H16" s="55" t="n">
        <x:v>0</x:v>
      </x:c>
      <x:c r="I16" s="56" t="n">
        <x:f>E16*(F16+G16+H16)</x:f>
        <x:v>0</x:v>
      </x:c>
      <x:c r="J16" s="57" t="n">
        <x:f>Inputs!$B$8</x:f>
        <x:v>0</x:v>
      </x:c>
      <x:c r="K16" s="57" t="n">
        <x:f>Inputs!$B$9</x:f>
        <x:v>0</x:v>
      </x:c>
      <x:c r="L16" s="58" t="n">
        <x:f>I16*(1+J16+K16)</x:f>
        <x:v>0</x:v>
      </x:c>
      <x:c r="M16" s="57" t="n">
        <x:f>Inputs!$B$10</x:f>
        <x:v>0</x:v>
      </x:c>
      <x:c r="N16" s="56" t="n">
        <x:f>IF(OR(S16="EXCLUDED",S16="CLIENT SUPPLIED"),0,IF(M16&gt;=1,0,L16/(1-M16)))</x:f>
        <x:v>0</x:v>
      </x:c>
      <x:c r="O16" s="56" t="n">
        <x:f>E16*N16*(1-Inputs!$B$11)</x:f>
        <x:v>0</x:v>
      </x:c>
      <x:c r="P16" s="56" t="n">
        <x:f>O16*Inputs!$B$7</x:f>
        <x:v>0</x:v>
      </x:c>
      <x:c r="Q16" s="56" t="n">
        <x:f>O16+P16</x:f>
        <x:v>0</x:v>
      </x:c>
      <x:c r="R16" s="54" t="str"/>
      <x:c r="S16" s="54" t="str">
        <x:v>PRICING INPUT REQUIRED</x:v>
      </x:c>
    </x:row>
    <x:row r="17">
      <x:c r="A17" s="29" t="str">
        <x:v>P-014</x:v>
      </x:c>
      <x:c r="B17" s="54" t="str"/>
      <x:c r="C17" s="54" t="str"/>
      <x:c r="D17" s="54" t="str"/>
      <x:c r="E17" s="32" t="str"/>
      <x:c r="F17" s="55" t="n">
        <x:v>0</x:v>
      </x:c>
      <x:c r="G17" s="55" t="n">
        <x:v>0</x:v>
      </x:c>
      <x:c r="H17" s="55" t="n">
        <x:v>0</x:v>
      </x:c>
      <x:c r="I17" s="56" t="n">
        <x:f>E17*(F17+G17+H17)</x:f>
        <x:v>0</x:v>
      </x:c>
      <x:c r="J17" s="57" t="n">
        <x:f>Inputs!$B$8</x:f>
        <x:v>0</x:v>
      </x:c>
      <x:c r="K17" s="57" t="n">
        <x:f>Inputs!$B$9</x:f>
        <x:v>0</x:v>
      </x:c>
      <x:c r="L17" s="58" t="n">
        <x:f>I17*(1+J17+K17)</x:f>
        <x:v>0</x:v>
      </x:c>
      <x:c r="M17" s="57" t="n">
        <x:f>Inputs!$B$10</x:f>
        <x:v>0</x:v>
      </x:c>
      <x:c r="N17" s="56" t="n">
        <x:f>IF(OR(S17="EXCLUDED",S17="CLIENT SUPPLIED"),0,IF(M17&gt;=1,0,L17/(1-M17)))</x:f>
        <x:v>0</x:v>
      </x:c>
      <x:c r="O17" s="56" t="n">
        <x:f>E17*N17*(1-Inputs!$B$11)</x:f>
        <x:v>0</x:v>
      </x:c>
      <x:c r="P17" s="56" t="n">
        <x:f>O17*Inputs!$B$7</x:f>
        <x:v>0</x:v>
      </x:c>
      <x:c r="Q17" s="56" t="n">
        <x:f>O17+P17</x:f>
        <x:v>0</x:v>
      </x:c>
      <x:c r="R17" s="54" t="str"/>
      <x:c r="S17" s="54" t="str">
        <x:v>PRICING INPUT REQUIRED</x:v>
      </x:c>
    </x:row>
    <x:row r="18">
      <x:c r="A18" s="29" t="str">
        <x:v>P-015</x:v>
      </x:c>
      <x:c r="B18" s="54" t="str"/>
      <x:c r="C18" s="54" t="str"/>
      <x:c r="D18" s="54" t="str"/>
      <x:c r="E18" s="32" t="str"/>
      <x:c r="F18" s="55" t="n">
        <x:v>0</x:v>
      </x:c>
      <x:c r="G18" s="55" t="n">
        <x:v>0</x:v>
      </x:c>
      <x:c r="H18" s="55" t="n">
        <x:v>0</x:v>
      </x:c>
      <x:c r="I18" s="56" t="n">
        <x:f>E18*(F18+G18+H18)</x:f>
        <x:v>0</x:v>
      </x:c>
      <x:c r="J18" s="57" t="n">
        <x:f>Inputs!$B$8</x:f>
        <x:v>0</x:v>
      </x:c>
      <x:c r="K18" s="57" t="n">
        <x:f>Inputs!$B$9</x:f>
        <x:v>0</x:v>
      </x:c>
      <x:c r="L18" s="58" t="n">
        <x:f>I18*(1+J18+K18)</x:f>
        <x:v>0</x:v>
      </x:c>
      <x:c r="M18" s="57" t="n">
        <x:f>Inputs!$B$10</x:f>
        <x:v>0</x:v>
      </x:c>
      <x:c r="N18" s="56" t="n">
        <x:f>IF(OR(S18="EXCLUDED",S18="CLIENT SUPPLIED"),0,IF(M18&gt;=1,0,L18/(1-M18)))</x:f>
        <x:v>0</x:v>
      </x:c>
      <x:c r="O18" s="56" t="n">
        <x:f>E18*N18*(1-Inputs!$B$11)</x:f>
        <x:v>0</x:v>
      </x:c>
      <x:c r="P18" s="56" t="n">
        <x:f>O18*Inputs!$B$7</x:f>
        <x:v>0</x:v>
      </x:c>
      <x:c r="Q18" s="56" t="n">
        <x:f>O18+P18</x:f>
        <x:v>0</x:v>
      </x:c>
      <x:c r="R18" s="54" t="str"/>
      <x:c r="S18" s="54" t="str">
        <x:v>PRICING INPUT REQUIRED</x:v>
      </x:c>
    </x:row>
    <x:row r="19">
      <x:c r="A19" s="29" t="str">
        <x:v>P-016</x:v>
      </x:c>
      <x:c r="B19" s="54" t="str"/>
      <x:c r="C19" s="54" t="str"/>
      <x:c r="D19" s="54" t="str"/>
      <x:c r="E19" s="32" t="str"/>
      <x:c r="F19" s="55" t="n">
        <x:v>0</x:v>
      </x:c>
      <x:c r="G19" s="55" t="n">
        <x:v>0</x:v>
      </x:c>
      <x:c r="H19" s="55" t="n">
        <x:v>0</x:v>
      </x:c>
      <x:c r="I19" s="56" t="n">
        <x:f>E19*(F19+G19+H19)</x:f>
        <x:v>0</x:v>
      </x:c>
      <x:c r="J19" s="57" t="n">
        <x:f>Inputs!$B$8</x:f>
        <x:v>0</x:v>
      </x:c>
      <x:c r="K19" s="57" t="n">
        <x:f>Inputs!$B$9</x:f>
        <x:v>0</x:v>
      </x:c>
      <x:c r="L19" s="58" t="n">
        <x:f>I19*(1+J19+K19)</x:f>
        <x:v>0</x:v>
      </x:c>
      <x:c r="M19" s="57" t="n">
        <x:f>Inputs!$B$10</x:f>
        <x:v>0</x:v>
      </x:c>
      <x:c r="N19" s="56" t="n">
        <x:f>IF(OR(S19="EXCLUDED",S19="CLIENT SUPPLIED"),0,IF(M19&gt;=1,0,L19/(1-M19)))</x:f>
        <x:v>0</x:v>
      </x:c>
      <x:c r="O19" s="56" t="n">
        <x:f>E19*N19*(1-Inputs!$B$11)</x:f>
        <x:v>0</x:v>
      </x:c>
      <x:c r="P19" s="56" t="n">
        <x:f>O19*Inputs!$B$7</x:f>
        <x:v>0</x:v>
      </x:c>
      <x:c r="Q19" s="56" t="n">
        <x:f>O19+P19</x:f>
        <x:v>0</x:v>
      </x:c>
      <x:c r="R19" s="54" t="str"/>
      <x:c r="S19" s="54" t="str">
        <x:v>PRICING INPUT REQUIRED</x:v>
      </x:c>
    </x:row>
    <x:row r="20">
      <x:c r="A20" s="29" t="str">
        <x:v>P-017</x:v>
      </x:c>
      <x:c r="B20" s="54" t="str"/>
      <x:c r="C20" s="54" t="str"/>
      <x:c r="D20" s="54" t="str"/>
      <x:c r="E20" s="32" t="str"/>
      <x:c r="F20" s="55" t="n">
        <x:v>0</x:v>
      </x:c>
      <x:c r="G20" s="55" t="n">
        <x:v>0</x:v>
      </x:c>
      <x:c r="H20" s="55" t="n">
        <x:v>0</x:v>
      </x:c>
      <x:c r="I20" s="56" t="n">
        <x:f>E20*(F20+G20+H20)</x:f>
        <x:v>0</x:v>
      </x:c>
      <x:c r="J20" s="57" t="n">
        <x:f>Inputs!$B$8</x:f>
        <x:v>0</x:v>
      </x:c>
      <x:c r="K20" s="57" t="n">
        <x:f>Inputs!$B$9</x:f>
        <x:v>0</x:v>
      </x:c>
      <x:c r="L20" s="58" t="n">
        <x:f>I20*(1+J20+K20)</x:f>
        <x:v>0</x:v>
      </x:c>
      <x:c r="M20" s="57" t="n">
        <x:f>Inputs!$B$10</x:f>
        <x:v>0</x:v>
      </x:c>
      <x:c r="N20" s="56" t="n">
        <x:f>IF(OR(S20="EXCLUDED",S20="CLIENT SUPPLIED"),0,IF(M20&gt;=1,0,L20/(1-M20)))</x:f>
        <x:v>0</x:v>
      </x:c>
      <x:c r="O20" s="56" t="n">
        <x:f>E20*N20*(1-Inputs!$B$11)</x:f>
        <x:v>0</x:v>
      </x:c>
      <x:c r="P20" s="56" t="n">
        <x:f>O20*Inputs!$B$7</x:f>
        <x:v>0</x:v>
      </x:c>
      <x:c r="Q20" s="56" t="n">
        <x:f>O20+P20</x:f>
        <x:v>0</x:v>
      </x:c>
      <x:c r="R20" s="54" t="str"/>
      <x:c r="S20" s="54" t="str">
        <x:v>PRICING INPUT REQUIRED</x:v>
      </x:c>
    </x:row>
    <x:row r="21">
      <x:c r="A21" s="29" t="str">
        <x:v>P-018</x:v>
      </x:c>
      <x:c r="B21" s="54" t="str"/>
      <x:c r="C21" s="54" t="str"/>
      <x:c r="D21" s="54" t="str"/>
      <x:c r="E21" s="32" t="str"/>
      <x:c r="F21" s="55" t="n">
        <x:v>0</x:v>
      </x:c>
      <x:c r="G21" s="55" t="n">
        <x:v>0</x:v>
      </x:c>
      <x:c r="H21" s="55" t="n">
        <x:v>0</x:v>
      </x:c>
      <x:c r="I21" s="56" t="n">
        <x:f>E21*(F21+G21+H21)</x:f>
        <x:v>0</x:v>
      </x:c>
      <x:c r="J21" s="57" t="n">
        <x:f>Inputs!$B$8</x:f>
        <x:v>0</x:v>
      </x:c>
      <x:c r="K21" s="57" t="n">
        <x:f>Inputs!$B$9</x:f>
        <x:v>0</x:v>
      </x:c>
      <x:c r="L21" s="58" t="n">
        <x:f>I21*(1+J21+K21)</x:f>
        <x:v>0</x:v>
      </x:c>
      <x:c r="M21" s="57" t="n">
        <x:f>Inputs!$B$10</x:f>
        <x:v>0</x:v>
      </x:c>
      <x:c r="N21" s="56" t="n">
        <x:f>IF(OR(S21="EXCLUDED",S21="CLIENT SUPPLIED"),0,IF(M21&gt;=1,0,L21/(1-M21)))</x:f>
        <x:v>0</x:v>
      </x:c>
      <x:c r="O21" s="56" t="n">
        <x:f>E21*N21*(1-Inputs!$B$11)</x:f>
        <x:v>0</x:v>
      </x:c>
      <x:c r="P21" s="56" t="n">
        <x:f>O21*Inputs!$B$7</x:f>
        <x:v>0</x:v>
      </x:c>
      <x:c r="Q21" s="56" t="n">
        <x:f>O21+P21</x:f>
        <x:v>0</x:v>
      </x:c>
      <x:c r="R21" s="54" t="str"/>
      <x:c r="S21" s="54" t="str">
        <x:v>PRICING INPUT REQUIRED</x:v>
      </x:c>
    </x:row>
    <x:row r="22">
      <x:c r="A22" s="29" t="str">
        <x:v>P-019</x:v>
      </x:c>
      <x:c r="B22" s="54" t="str"/>
      <x:c r="C22" s="54" t="str"/>
      <x:c r="D22" s="54" t="str"/>
      <x:c r="E22" s="32" t="str"/>
      <x:c r="F22" s="55" t="n">
        <x:v>0</x:v>
      </x:c>
      <x:c r="G22" s="55" t="n">
        <x:v>0</x:v>
      </x:c>
      <x:c r="H22" s="55" t="n">
        <x:v>0</x:v>
      </x:c>
      <x:c r="I22" s="56" t="n">
        <x:f>E22*(F22+G22+H22)</x:f>
        <x:v>0</x:v>
      </x:c>
      <x:c r="J22" s="57" t="n">
        <x:f>Inputs!$B$8</x:f>
        <x:v>0</x:v>
      </x:c>
      <x:c r="K22" s="57" t="n">
        <x:f>Inputs!$B$9</x:f>
        <x:v>0</x:v>
      </x:c>
      <x:c r="L22" s="58" t="n">
        <x:f>I22*(1+J22+K22)</x:f>
        <x:v>0</x:v>
      </x:c>
      <x:c r="M22" s="57" t="n">
        <x:f>Inputs!$B$10</x:f>
        <x:v>0</x:v>
      </x:c>
      <x:c r="N22" s="56" t="n">
        <x:f>IF(OR(S22="EXCLUDED",S22="CLIENT SUPPLIED"),0,IF(M22&gt;=1,0,L22/(1-M22)))</x:f>
        <x:v>0</x:v>
      </x:c>
      <x:c r="O22" s="56" t="n">
        <x:f>E22*N22*(1-Inputs!$B$11)</x:f>
        <x:v>0</x:v>
      </x:c>
      <x:c r="P22" s="56" t="n">
        <x:f>O22*Inputs!$B$7</x:f>
        <x:v>0</x:v>
      </x:c>
      <x:c r="Q22" s="56" t="n">
        <x:f>O22+P22</x:f>
        <x:v>0</x:v>
      </x:c>
      <x:c r="R22" s="54" t="str"/>
      <x:c r="S22" s="54" t="str">
        <x:v>PRICING INPUT REQUIRED</x:v>
      </x:c>
    </x:row>
    <x:row r="23">
      <x:c r="A23" s="29" t="str">
        <x:v>P-020</x:v>
      </x:c>
      <x:c r="B23" s="54" t="str"/>
      <x:c r="C23" s="54" t="str"/>
      <x:c r="D23" s="54" t="str"/>
      <x:c r="E23" s="32" t="str"/>
      <x:c r="F23" s="55" t="n">
        <x:v>0</x:v>
      </x:c>
      <x:c r="G23" s="55" t="n">
        <x:v>0</x:v>
      </x:c>
      <x:c r="H23" s="55" t="n">
        <x:v>0</x:v>
      </x:c>
      <x:c r="I23" s="56" t="n">
        <x:f>E23*(F23+G23+H23)</x:f>
        <x:v>0</x:v>
      </x:c>
      <x:c r="J23" s="57" t="n">
        <x:f>Inputs!$B$8</x:f>
        <x:v>0</x:v>
      </x:c>
      <x:c r="K23" s="57" t="n">
        <x:f>Inputs!$B$9</x:f>
        <x:v>0</x:v>
      </x:c>
      <x:c r="L23" s="58" t="n">
        <x:f>I23*(1+J23+K23)</x:f>
        <x:v>0</x:v>
      </x:c>
      <x:c r="M23" s="57" t="n">
        <x:f>Inputs!$B$10</x:f>
        <x:v>0</x:v>
      </x:c>
      <x:c r="N23" s="56" t="n">
        <x:f>IF(OR(S23="EXCLUDED",S23="CLIENT SUPPLIED"),0,IF(M23&gt;=1,0,L23/(1-M23)))</x:f>
        <x:v>0</x:v>
      </x:c>
      <x:c r="O23" s="56" t="n">
        <x:f>E23*N23*(1-Inputs!$B$11)</x:f>
        <x:v>0</x:v>
      </x:c>
      <x:c r="P23" s="56" t="n">
        <x:f>O23*Inputs!$B$7</x:f>
        <x:v>0</x:v>
      </x:c>
      <x:c r="Q23" s="56" t="n">
        <x:f>O23+P23</x:f>
        <x:v>0</x:v>
      </x:c>
      <x:c r="R23" s="54" t="str"/>
      <x:c r="S23" s="54" t="str">
        <x:v>PRICING INPUT REQUIRED</x:v>
      </x:c>
    </x:row>
    <x:row r="24">
      <x:c r="A24" s="29" t="str">
        <x:v>P-021</x:v>
      </x:c>
      <x:c r="B24" s="54" t="str"/>
      <x:c r="C24" s="54" t="str"/>
      <x:c r="D24" s="54" t="str"/>
      <x:c r="E24" s="32" t="str"/>
      <x:c r="F24" s="55" t="n">
        <x:v>0</x:v>
      </x:c>
      <x:c r="G24" s="55" t="n">
        <x:v>0</x:v>
      </x:c>
      <x:c r="H24" s="55" t="n">
        <x:v>0</x:v>
      </x:c>
      <x:c r="I24" s="56" t="n">
        <x:f>E24*(F24+G24+H24)</x:f>
        <x:v>0</x:v>
      </x:c>
      <x:c r="J24" s="57" t="n">
        <x:f>Inputs!$B$8</x:f>
        <x:v>0</x:v>
      </x:c>
      <x:c r="K24" s="57" t="n">
        <x:f>Inputs!$B$9</x:f>
        <x:v>0</x:v>
      </x:c>
      <x:c r="L24" s="58" t="n">
        <x:f>I24*(1+J24+K24)</x:f>
        <x:v>0</x:v>
      </x:c>
      <x:c r="M24" s="57" t="n">
        <x:f>Inputs!$B$10</x:f>
        <x:v>0</x:v>
      </x:c>
      <x:c r="N24" s="56" t="n">
        <x:f>IF(OR(S24="EXCLUDED",S24="CLIENT SUPPLIED"),0,IF(M24&gt;=1,0,L24/(1-M24)))</x:f>
        <x:v>0</x:v>
      </x:c>
      <x:c r="O24" s="56" t="n">
        <x:f>E24*N24*(1-Inputs!$B$11)</x:f>
        <x:v>0</x:v>
      </x:c>
      <x:c r="P24" s="56" t="n">
        <x:f>O24*Inputs!$B$7</x:f>
        <x:v>0</x:v>
      </x:c>
      <x:c r="Q24" s="56" t="n">
        <x:f>O24+P24</x:f>
        <x:v>0</x:v>
      </x:c>
      <x:c r="R24" s="54" t="str"/>
      <x:c r="S24" s="54" t="str">
        <x:v>PRICING INPUT REQUIRED</x:v>
      </x:c>
    </x:row>
    <x:row r="25">
      <x:c r="A25" s="29" t="str">
        <x:v>P-022</x:v>
      </x:c>
      <x:c r="B25" s="54" t="str"/>
      <x:c r="C25" s="54" t="str"/>
      <x:c r="D25" s="54" t="str"/>
      <x:c r="E25" s="32" t="str"/>
      <x:c r="F25" s="55" t="n">
        <x:v>0</x:v>
      </x:c>
      <x:c r="G25" s="55" t="n">
        <x:v>0</x:v>
      </x:c>
      <x:c r="H25" s="55" t="n">
        <x:v>0</x:v>
      </x:c>
      <x:c r="I25" s="56" t="n">
        <x:f>E25*(F25+G25+H25)</x:f>
        <x:v>0</x:v>
      </x:c>
      <x:c r="J25" s="57" t="n">
        <x:f>Inputs!$B$8</x:f>
        <x:v>0</x:v>
      </x:c>
      <x:c r="K25" s="57" t="n">
        <x:f>Inputs!$B$9</x:f>
        <x:v>0</x:v>
      </x:c>
      <x:c r="L25" s="58" t="n">
        <x:f>I25*(1+J25+K25)</x:f>
        <x:v>0</x:v>
      </x:c>
      <x:c r="M25" s="57" t="n">
        <x:f>Inputs!$B$10</x:f>
        <x:v>0</x:v>
      </x:c>
      <x:c r="N25" s="56" t="n">
        <x:f>IF(OR(S25="EXCLUDED",S25="CLIENT SUPPLIED"),0,IF(M25&gt;=1,0,L25/(1-M25)))</x:f>
        <x:v>0</x:v>
      </x:c>
      <x:c r="O25" s="56" t="n">
        <x:f>E25*N25*(1-Inputs!$B$11)</x:f>
        <x:v>0</x:v>
      </x:c>
      <x:c r="P25" s="56" t="n">
        <x:f>O25*Inputs!$B$7</x:f>
        <x:v>0</x:v>
      </x:c>
      <x:c r="Q25" s="56" t="n">
        <x:f>O25+P25</x:f>
        <x:v>0</x:v>
      </x:c>
      <x:c r="R25" s="54" t="str"/>
      <x:c r="S25" s="54" t="str">
        <x:v>PRICING INPUT REQUIRED</x:v>
      </x:c>
    </x:row>
    <x:row r="26">
      <x:c r="A26" s="29" t="str">
        <x:v>P-023</x:v>
      </x:c>
      <x:c r="B26" s="54" t="str"/>
      <x:c r="C26" s="54" t="str"/>
      <x:c r="D26" s="54" t="str"/>
      <x:c r="E26" s="32" t="str"/>
      <x:c r="F26" s="55" t="n">
        <x:v>0</x:v>
      </x:c>
      <x:c r="G26" s="55" t="n">
        <x:v>0</x:v>
      </x:c>
      <x:c r="H26" s="55" t="n">
        <x:v>0</x:v>
      </x:c>
      <x:c r="I26" s="56" t="n">
        <x:f>E26*(F26+G26+H26)</x:f>
        <x:v>0</x:v>
      </x:c>
      <x:c r="J26" s="57" t="n">
        <x:f>Inputs!$B$8</x:f>
        <x:v>0</x:v>
      </x:c>
      <x:c r="K26" s="57" t="n">
        <x:f>Inputs!$B$9</x:f>
        <x:v>0</x:v>
      </x:c>
      <x:c r="L26" s="58" t="n">
        <x:f>I26*(1+J26+K26)</x:f>
        <x:v>0</x:v>
      </x:c>
      <x:c r="M26" s="57" t="n">
        <x:f>Inputs!$B$10</x:f>
        <x:v>0</x:v>
      </x:c>
      <x:c r="N26" s="56" t="n">
        <x:f>IF(OR(S26="EXCLUDED",S26="CLIENT SUPPLIED"),0,IF(M26&gt;=1,0,L26/(1-M26)))</x:f>
        <x:v>0</x:v>
      </x:c>
      <x:c r="O26" s="56" t="n">
        <x:f>E26*N26*(1-Inputs!$B$11)</x:f>
        <x:v>0</x:v>
      </x:c>
      <x:c r="P26" s="56" t="n">
        <x:f>O26*Inputs!$B$7</x:f>
        <x:v>0</x:v>
      </x:c>
      <x:c r="Q26" s="56" t="n">
        <x:f>O26+P26</x:f>
        <x:v>0</x:v>
      </x:c>
      <x:c r="R26" s="54" t="str"/>
      <x:c r="S26" s="54" t="str">
        <x:v>PRICING INPUT REQUIRED</x:v>
      </x:c>
    </x:row>
    <x:row r="27">
      <x:c r="A27" s="29" t="str">
        <x:v>P-024</x:v>
      </x:c>
      <x:c r="B27" s="54" t="str"/>
      <x:c r="C27" s="54" t="str"/>
      <x:c r="D27" s="54" t="str"/>
      <x:c r="E27" s="32" t="str"/>
      <x:c r="F27" s="55" t="n">
        <x:v>0</x:v>
      </x:c>
      <x:c r="G27" s="55" t="n">
        <x:v>0</x:v>
      </x:c>
      <x:c r="H27" s="55" t="n">
        <x:v>0</x:v>
      </x:c>
      <x:c r="I27" s="56" t="n">
        <x:f>E27*(F27+G27+H27)</x:f>
        <x:v>0</x:v>
      </x:c>
      <x:c r="J27" s="57" t="n">
        <x:f>Inputs!$B$8</x:f>
        <x:v>0</x:v>
      </x:c>
      <x:c r="K27" s="57" t="n">
        <x:f>Inputs!$B$9</x:f>
        <x:v>0</x:v>
      </x:c>
      <x:c r="L27" s="58" t="n">
        <x:f>I27*(1+J27+K27)</x:f>
        <x:v>0</x:v>
      </x:c>
      <x:c r="M27" s="57" t="n">
        <x:f>Inputs!$B$10</x:f>
        <x:v>0</x:v>
      </x:c>
      <x:c r="N27" s="56" t="n">
        <x:f>IF(OR(S27="EXCLUDED",S27="CLIENT SUPPLIED"),0,IF(M27&gt;=1,0,L27/(1-M27)))</x:f>
        <x:v>0</x:v>
      </x:c>
      <x:c r="O27" s="56" t="n">
        <x:f>E27*N27*(1-Inputs!$B$11)</x:f>
        <x:v>0</x:v>
      </x:c>
      <x:c r="P27" s="56" t="n">
        <x:f>O27*Inputs!$B$7</x:f>
        <x:v>0</x:v>
      </x:c>
      <x:c r="Q27" s="56" t="n">
        <x:f>O27+P27</x:f>
        <x:v>0</x:v>
      </x:c>
      <x:c r="R27" s="54" t="str"/>
      <x:c r="S27" s="54" t="str">
        <x:v>PRICING INPUT REQUIRED</x:v>
      </x:c>
    </x:row>
    <x:row r="28">
      <x:c r="A28" s="29" t="str">
        <x:v>P-025</x:v>
      </x:c>
      <x:c r="B28" s="54" t="str"/>
      <x:c r="C28" s="54" t="str"/>
      <x:c r="D28" s="54" t="str"/>
      <x:c r="E28" s="32" t="str"/>
      <x:c r="F28" s="55" t="n">
        <x:v>0</x:v>
      </x:c>
      <x:c r="G28" s="55" t="n">
        <x:v>0</x:v>
      </x:c>
      <x:c r="H28" s="55" t="n">
        <x:v>0</x:v>
      </x:c>
      <x:c r="I28" s="56" t="n">
        <x:f>E28*(F28+G28+H28)</x:f>
        <x:v>0</x:v>
      </x:c>
      <x:c r="J28" s="57" t="n">
        <x:f>Inputs!$B$8</x:f>
        <x:v>0</x:v>
      </x:c>
      <x:c r="K28" s="57" t="n">
        <x:f>Inputs!$B$9</x:f>
        <x:v>0</x:v>
      </x:c>
      <x:c r="L28" s="58" t="n">
        <x:f>I28*(1+J28+K28)</x:f>
        <x:v>0</x:v>
      </x:c>
      <x:c r="M28" s="57" t="n">
        <x:f>Inputs!$B$10</x:f>
        <x:v>0</x:v>
      </x:c>
      <x:c r="N28" s="56" t="n">
        <x:f>IF(OR(S28="EXCLUDED",S28="CLIENT SUPPLIED"),0,IF(M28&gt;=1,0,L28/(1-M28)))</x:f>
        <x:v>0</x:v>
      </x:c>
      <x:c r="O28" s="56" t="n">
        <x:f>E28*N28*(1-Inputs!$B$11)</x:f>
        <x:v>0</x:v>
      </x:c>
      <x:c r="P28" s="56" t="n">
        <x:f>O28*Inputs!$B$7</x:f>
        <x:v>0</x:v>
      </x:c>
      <x:c r="Q28" s="56" t="n">
        <x:f>O28+P28</x:f>
        <x:v>0</x:v>
      </x:c>
      <x:c r="R28" s="54" t="str"/>
      <x:c r="S28" s="54" t="str">
        <x:v>PRICING INPUT REQUIRED</x:v>
      </x:c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</x:row>
    <x:row r="30">
      <x:c r="A30" s="59" t="str">
        <x:v>Totals</x:v>
      </x:c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60" t="n">
        <x:f>SUM(O4:O28)</x:f>
        <x:v>0</x:v>
      </x:c>
      <x:c r="P30" s="60" t="n">
        <x:f>SUM(P4:P28)</x:f>
        <x:v>0</x:v>
      </x:c>
      <x:c r="Q30" s="60" t="n">
        <x:f>SUM(Q4:Q28)</x:f>
        <x:v>0</x:v>
      </x:c>
      <x:c r="R30" s="29"/>
      <x:c r="S30" s="29"/>
    </x:row>
  </x:sheetData>
  <x:mergeCells>
    <x:mergeCell ref="A1:S1"/>
    <x:mergeCell ref="A30:N30"/>
  </x:mergeCells>
  <x:conditionalFormatting sqref="S4:S28">
    <x:cfRule type="expression" dxfId="0" priority="1">
      <x:formula>S4="PRICING INPUT REQUIRED"</x:formula>
    </x:cfRule>
  </x:conditionalFormatting>
  <x:dataValidations count="3">
    <x:dataValidation type="list" sqref="B4:B28">
      <x:formula1>"Strategy,Project Management,Content,Design,Production,Media,Monitoring,Crisis,Events,Digital,AI,Technology,Supplier,Other"</x:formula1>
    </x:dataValidation>
    <x:dataValidation type="list" sqref="D4:D28">
      <x:formula1>"item,design,post,video,finished minute,production day,shooting hour,person-day,person-month,month,report,campaign,event,attendee,language,page,platform,dashboard,license,integration,workshop,session,influencer deliverable,supplier package"</x:formula1>
    </x:dataValidation>
    <x:dataValidation type="list" sqref="S4:S28">
      <x:formula1>"PRICING INPUT REQUIRED,READY,OPTIONAL,EXCLUDED,CLIENT SUPPLIED"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8" hidden="0" customWidth="1"/>
    <x:col min="5" max="5" width="8" hidden="0" customWidth="1"/>
    <x:col min="6" max="6" width="36" hidden="0" customWidth="1"/>
    <x:col min="7" max="7" width="22" hidden="0" customWidth="1"/>
    <x:col min="8" max="8" width="14" hidden="0" customWidth="1"/>
    <x:col min="9" max="9" width="18" hidden="0" customWidth="1"/>
    <x:col min="10" max="10" width="30" hidden="0" customWidth="1"/>
  </x:cols>
  <x:sheetData>
    <x:row r="1">
      <x:c r="A1" s="5" t="str">
        <x:v>Technical to Financial Deliverable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Requirement ID</x:v>
      </x:c>
      <x:c r="B3" s="14" t="str">
        <x:v>Technical Section</x:v>
      </x:c>
      <x:c r="C3" s="14" t="str">
        <x:v>Deliverable</x:v>
      </x:c>
      <x:c r="D3" s="14" t="str">
        <x:v>Unit</x:v>
      </x:c>
      <x:c r="E3" s="14" t="str">
        <x:v>Qty</x:v>
      </x:c>
      <x:c r="F3" s="14" t="str">
        <x:v>Acceptance Criteria</x:v>
      </x:c>
      <x:c r="G3" s="14" t="str">
        <x:v>Owner</x:v>
      </x:c>
      <x:c r="H3" s="14" t="str">
        <x:v>Price Line ID</x:v>
      </x:c>
      <x:c r="I3" s="14" t="str">
        <x:v>Treatment</x:v>
      </x:c>
      <x:c r="J3" s="14" t="str">
        <x:v>Source Ref</x:v>
      </x:c>
    </x:row>
    <x:row r="4">
      <x:c r="A4" s="54" t="str"/>
      <x:c r="B4" s="54" t="str"/>
      <x:c r="C4" s="54" t="str"/>
      <x:c r="D4" s="54" t="str"/>
      <x:c r="E4" s="54" t="str"/>
      <x:c r="F4" s="54" t="str"/>
      <x:c r="G4" s="54" t="str"/>
      <x:c r="H4" s="54" t="str"/>
      <x:c r="I4" s="54" t="str">
        <x:v>INCLUDED</x:v>
      </x:c>
      <x:c r="J4" s="54" t="str"/>
    </x:row>
    <x:row r="5">
      <x:c r="A5" s="54" t="str"/>
      <x:c r="B5" s="54" t="str"/>
      <x:c r="C5" s="54" t="str"/>
      <x:c r="D5" s="54" t="str"/>
      <x:c r="E5" s="54" t="str"/>
      <x:c r="F5" s="54" t="str"/>
      <x:c r="G5" s="54" t="str"/>
      <x:c r="H5" s="54" t="str"/>
      <x:c r="I5" s="54" t="str">
        <x:v>INCLUDED</x:v>
      </x:c>
      <x:c r="J5" s="54" t="str"/>
    </x:row>
    <x:row r="6">
      <x:c r="A6" s="54" t="str"/>
      <x:c r="B6" s="54" t="str"/>
      <x:c r="C6" s="54" t="str"/>
      <x:c r="D6" s="54" t="str"/>
      <x:c r="E6" s="54" t="str"/>
      <x:c r="F6" s="54" t="str"/>
      <x:c r="G6" s="54" t="str"/>
      <x:c r="H6" s="54" t="str"/>
      <x:c r="I6" s="54" t="str">
        <x:v>INCLUDED</x:v>
      </x:c>
      <x:c r="J6" s="54" t="str"/>
    </x:row>
    <x:row r="7">
      <x:c r="A7" s="54" t="str"/>
      <x:c r="B7" s="54" t="str"/>
      <x:c r="C7" s="54" t="str"/>
      <x:c r="D7" s="54" t="str"/>
      <x:c r="E7" s="54" t="str"/>
      <x:c r="F7" s="54" t="str"/>
      <x:c r="G7" s="54" t="str"/>
      <x:c r="H7" s="54" t="str"/>
      <x:c r="I7" s="54" t="str">
        <x:v>INCLUDED</x:v>
      </x:c>
      <x:c r="J7" s="54" t="str"/>
    </x:row>
    <x:row r="8">
      <x:c r="A8" s="54" t="str"/>
      <x:c r="B8" s="54" t="str"/>
      <x:c r="C8" s="54" t="str"/>
      <x:c r="D8" s="54" t="str"/>
      <x:c r="E8" s="54" t="str"/>
      <x:c r="F8" s="54" t="str"/>
      <x:c r="G8" s="54" t="str"/>
      <x:c r="H8" s="54" t="str"/>
      <x:c r="I8" s="54" t="str">
        <x:v>INCLUDED</x:v>
      </x:c>
      <x:c r="J8" s="54" t="str"/>
    </x:row>
    <x:row r="9">
      <x:c r="A9" s="54" t="str"/>
      <x:c r="B9" s="54" t="str"/>
      <x:c r="C9" s="54" t="str"/>
      <x:c r="D9" s="54" t="str"/>
      <x:c r="E9" s="54" t="str"/>
      <x:c r="F9" s="54" t="str"/>
      <x:c r="G9" s="54" t="str"/>
      <x:c r="H9" s="54" t="str"/>
      <x:c r="I9" s="54" t="str">
        <x:v>INCLUDED</x:v>
      </x:c>
      <x:c r="J9" s="54" t="str"/>
    </x:row>
    <x:row r="10">
      <x:c r="A10" s="54" t="str"/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>
        <x:v>INCLUDED</x:v>
      </x:c>
      <x:c r="J10" s="54" t="str"/>
    </x:row>
    <x:row r="11">
      <x:c r="A11" s="54" t="str"/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>
        <x:v>INCLUDED</x:v>
      </x:c>
      <x:c r="J11" s="54" t="str"/>
    </x:row>
    <x:row r="12">
      <x:c r="A12" s="54" t="str"/>
      <x:c r="B12" s="54" t="str"/>
      <x:c r="C12" s="54" t="str"/>
      <x:c r="D12" s="54" t="str"/>
      <x:c r="E12" s="54" t="str"/>
      <x:c r="F12" s="54" t="str"/>
      <x:c r="G12" s="54" t="str"/>
      <x:c r="H12" s="54" t="str"/>
      <x:c r="I12" s="54" t="str">
        <x:v>INCLUDED</x:v>
      </x:c>
      <x:c r="J12" s="54" t="str"/>
    </x:row>
    <x:row r="13">
      <x:c r="A13" s="54" t="str"/>
      <x:c r="B13" s="54" t="str"/>
      <x:c r="C13" s="54" t="str"/>
      <x:c r="D13" s="54" t="str"/>
      <x:c r="E13" s="54" t="str"/>
      <x:c r="F13" s="54" t="str"/>
      <x:c r="G13" s="54" t="str"/>
      <x:c r="H13" s="54" t="str"/>
      <x:c r="I13" s="54" t="str">
        <x:v>INCLUDED</x:v>
      </x:c>
      <x:c r="J13" s="54" t="str"/>
    </x:row>
    <x:row r="14">
      <x:c r="A14" s="54" t="str"/>
      <x:c r="B14" s="54" t="str"/>
      <x:c r="C14" s="54" t="str"/>
      <x:c r="D14" s="54" t="str"/>
      <x:c r="E14" s="54" t="str"/>
      <x:c r="F14" s="54" t="str"/>
      <x:c r="G14" s="54" t="str"/>
      <x:c r="H14" s="54" t="str"/>
      <x:c r="I14" s="54" t="str">
        <x:v>INCLUDED</x:v>
      </x:c>
      <x:c r="J14" s="54" t="str"/>
    </x:row>
    <x:row r="15">
      <x:c r="A15" s="54" t="str"/>
      <x:c r="B15" s="54" t="str"/>
      <x:c r="C15" s="54" t="str"/>
      <x:c r="D15" s="54" t="str"/>
      <x:c r="E15" s="54" t="str"/>
      <x:c r="F15" s="54" t="str"/>
      <x:c r="G15" s="54" t="str"/>
      <x:c r="H15" s="54" t="str"/>
      <x:c r="I15" s="54" t="str">
        <x:v>INCLUDED</x:v>
      </x:c>
      <x:c r="J15" s="54" t="str"/>
    </x:row>
    <x:row r="16">
      <x:c r="A16" s="54" t="str"/>
      <x:c r="B16" s="54" t="str"/>
      <x:c r="C16" s="54" t="str"/>
      <x:c r="D16" s="54" t="str"/>
      <x:c r="E16" s="54" t="str"/>
      <x:c r="F16" s="54" t="str"/>
      <x:c r="G16" s="54" t="str"/>
      <x:c r="H16" s="54" t="str"/>
      <x:c r="I16" s="54" t="str">
        <x:v>INCLUDED</x:v>
      </x:c>
      <x:c r="J16" s="54" t="str"/>
    </x:row>
    <x:row r="17">
      <x:c r="A17" s="54" t="str"/>
      <x:c r="B17" s="54" t="str"/>
      <x:c r="C17" s="54" t="str"/>
      <x:c r="D17" s="54" t="str"/>
      <x:c r="E17" s="54" t="str"/>
      <x:c r="F17" s="54" t="str"/>
      <x:c r="G17" s="54" t="str"/>
      <x:c r="H17" s="54" t="str"/>
      <x:c r="I17" s="54" t="str">
        <x:v>INCLUDED</x:v>
      </x:c>
      <x:c r="J17" s="54" t="str"/>
    </x:row>
    <x:row r="18">
      <x:c r="A18" s="54" t="str"/>
      <x:c r="B18" s="54" t="str"/>
      <x:c r="C18" s="54" t="str"/>
      <x:c r="D18" s="54" t="str"/>
      <x:c r="E18" s="54" t="str"/>
      <x:c r="F18" s="54" t="str"/>
      <x:c r="G18" s="54" t="str"/>
      <x:c r="H18" s="54" t="str"/>
      <x:c r="I18" s="54" t="str">
        <x:v>INCLUDED</x:v>
      </x:c>
      <x:c r="J18" s="54" t="str"/>
    </x:row>
    <x:row r="19">
      <x:c r="A19" s="54" t="str"/>
      <x:c r="B19" s="54" t="str"/>
      <x:c r="C19" s="54" t="str"/>
      <x:c r="D19" s="54" t="str"/>
      <x:c r="E19" s="54" t="str"/>
      <x:c r="F19" s="54" t="str"/>
      <x:c r="G19" s="54" t="str"/>
      <x:c r="H19" s="54" t="str"/>
      <x:c r="I19" s="54" t="str">
        <x:v>INCLUDED</x:v>
      </x:c>
      <x:c r="J19" s="54" t="str"/>
    </x:row>
    <x:row r="20">
      <x:c r="A20" s="54" t="str"/>
      <x:c r="B20" s="54" t="str"/>
      <x:c r="C20" s="54" t="str"/>
      <x:c r="D20" s="54" t="str"/>
      <x:c r="E20" s="54" t="str"/>
      <x:c r="F20" s="54" t="str"/>
      <x:c r="G20" s="54" t="str"/>
      <x:c r="H20" s="54" t="str"/>
      <x:c r="I20" s="54" t="str">
        <x:v>INCLUDED</x:v>
      </x:c>
      <x:c r="J20" s="54" t="str"/>
    </x:row>
    <x:row r="21">
      <x:c r="A21" s="54" t="str"/>
      <x:c r="B21" s="54" t="str"/>
      <x:c r="C21" s="54" t="str"/>
      <x:c r="D21" s="54" t="str"/>
      <x:c r="E21" s="54" t="str"/>
      <x:c r="F21" s="54" t="str"/>
      <x:c r="G21" s="54" t="str"/>
      <x:c r="H21" s="54" t="str"/>
      <x:c r="I21" s="54" t="str">
        <x:v>INCLUDED</x:v>
      </x:c>
      <x:c r="J21" s="54" t="str"/>
    </x:row>
    <x:row r="22">
      <x:c r="A22" s="54" t="str"/>
      <x:c r="B22" s="54" t="str"/>
      <x:c r="C22" s="54" t="str"/>
      <x:c r="D22" s="54" t="str"/>
      <x:c r="E22" s="54" t="str"/>
      <x:c r="F22" s="54" t="str"/>
      <x:c r="G22" s="54" t="str"/>
      <x:c r="H22" s="54" t="str"/>
      <x:c r="I22" s="54" t="str">
        <x:v>INCLUDED</x:v>
      </x:c>
      <x:c r="J22" s="54" t="str"/>
    </x:row>
    <x:row r="23">
      <x:c r="A23" s="54" t="str"/>
      <x:c r="B23" s="54" t="str"/>
      <x:c r="C23" s="54" t="str"/>
      <x:c r="D23" s="54" t="str"/>
      <x:c r="E23" s="54" t="str"/>
      <x:c r="F23" s="54" t="str"/>
      <x:c r="G23" s="54" t="str"/>
      <x:c r="H23" s="54" t="str"/>
      <x:c r="I23" s="54" t="str">
        <x:v>INCLUDED</x:v>
      </x:c>
      <x:c r="J23" s="54" t="str"/>
    </x:row>
    <x:row r="24">
      <x:c r="A24" s="54" t="str"/>
      <x:c r="B24" s="54" t="str"/>
      <x:c r="C24" s="54" t="str"/>
      <x:c r="D24" s="54" t="str"/>
      <x:c r="E24" s="54" t="str"/>
      <x:c r="F24" s="54" t="str"/>
      <x:c r="G24" s="54" t="str"/>
      <x:c r="H24" s="54" t="str"/>
      <x:c r="I24" s="54" t="str">
        <x:v>INCLUDED</x:v>
      </x:c>
      <x:c r="J24" s="54" t="str"/>
    </x:row>
    <x:row r="25">
      <x:c r="A25" s="54" t="str"/>
      <x:c r="B25" s="54" t="str"/>
      <x:c r="C25" s="54" t="str"/>
      <x:c r="D25" s="54" t="str"/>
      <x:c r="E25" s="54" t="str"/>
      <x:c r="F25" s="54" t="str"/>
      <x:c r="G25" s="54" t="str"/>
      <x:c r="H25" s="54" t="str"/>
      <x:c r="I25" s="54" t="str">
        <x:v>INCLUDED</x:v>
      </x:c>
      <x:c r="J25" s="54" t="str"/>
    </x:row>
    <x:row r="26">
      <x:c r="A26" s="54" t="str"/>
      <x:c r="B26" s="54" t="str"/>
      <x:c r="C26" s="54" t="str"/>
      <x:c r="D26" s="54" t="str"/>
      <x:c r="E26" s="54" t="str"/>
      <x:c r="F26" s="54" t="str"/>
      <x:c r="G26" s="54" t="str"/>
      <x:c r="H26" s="54" t="str"/>
      <x:c r="I26" s="54" t="str">
        <x:v>INCLUDED</x:v>
      </x:c>
      <x:c r="J26" s="54" t="str"/>
    </x:row>
    <x:row r="27">
      <x:c r="A27" s="54" t="str"/>
      <x:c r="B27" s="54" t="str"/>
      <x:c r="C27" s="54" t="str"/>
      <x:c r="D27" s="54" t="str"/>
      <x:c r="E27" s="54" t="str"/>
      <x:c r="F27" s="54" t="str"/>
      <x:c r="G27" s="54" t="str"/>
      <x:c r="H27" s="54" t="str"/>
      <x:c r="I27" s="54" t="str">
        <x:v>INCLUDED</x:v>
      </x:c>
      <x:c r="J27" s="54" t="str"/>
    </x:row>
    <x:row r="28">
      <x:c r="A28" s="54" t="str"/>
      <x:c r="B28" s="54" t="str"/>
      <x:c r="C28" s="54" t="str"/>
      <x:c r="D28" s="54" t="str"/>
      <x:c r="E28" s="54" t="str"/>
      <x:c r="F28" s="54" t="str"/>
      <x:c r="G28" s="54" t="str"/>
      <x:c r="H28" s="54" t="str"/>
      <x:c r="I28" s="54" t="str">
        <x:v>INCLUDED</x:v>
      </x:c>
      <x:c r="J28" s="54" t="str"/>
    </x:row>
  </x:sheetData>
  <x:mergeCells>
    <x:mergeCell ref="A1:J1"/>
  </x:mergeCells>
  <x:dataValidations count="1">
    <x:dataValidation type="list" sqref="I4:I28">
      <x:formula1>"INCLUDED,OPTIONAL,EXCLUDED,CLIENT SUPPLIED,UNPRICED GAP"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  <x:col min="7" max="7" width="34" hidden="0" customWidth="1"/>
    <x:col min="8" max="8" width="16" hidden="0" customWidth="1"/>
  </x:cols>
  <x:sheetData>
    <x:row r="1">
      <x:c r="A1" s="5" t="str">
        <x:v>Payment Milestones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Milestone</x:v>
      </x:c>
      <x:c r="B3" s="14" t="str">
        <x:v>Trigger / Acceptance</x:v>
      </x:c>
      <x:c r="C3" s="14" t="str">
        <x:v>% of ex-VAT Total</x:v>
      </x:c>
      <x:c r="D3" s="14" t="str">
        <x:v>Amount ex VAT (SAR)</x:v>
      </x:c>
      <x:c r="E3" s="14" t="str">
        <x:v>VAT (SAR)</x:v>
      </x:c>
      <x:c r="F3" s="14" t="str">
        <x:v>Amount inc VAT (SAR)</x:v>
      </x:c>
      <x:c r="G3" s="14" t="str">
        <x:v>Dependency / Note</x:v>
      </x:c>
      <x:c r="H3" s="14" t="str">
        <x:v>Status</x:v>
      </x:c>
    </x:row>
    <x:row r="4">
      <x:c r="A4" s="54" t="str"/>
      <x:c r="B4" s="54" t="str"/>
      <x:c r="C4" s="31" t="n">
        <x:v>0</x:v>
      </x:c>
      <x:c r="D4" s="58" t="n">
        <x:f>C4*Summary!$B$6</x:f>
        <x:v>0</x:v>
      </x:c>
      <x:c r="E4" s="58" t="n">
        <x:f>D4*Inputs!$B$7</x:f>
        <x:v>0</x:v>
      </x:c>
      <x:c r="F4" s="58" t="n">
        <x:f>D4+E4</x:f>
        <x:v>0</x:v>
      </x:c>
      <x:c r="G4" s="54" t="str"/>
      <x:c r="H4" s="54" t="str">
        <x:v>TBC</x:v>
      </x:c>
    </x:row>
    <x:row r="5">
      <x:c r="A5" s="54" t="str"/>
      <x:c r="B5" s="54" t="str"/>
      <x:c r="C5" s="31" t="n">
        <x:v>0</x:v>
      </x:c>
      <x:c r="D5" s="58" t="n">
        <x:f>C5*Summary!$B$6</x:f>
        <x:v>0</x:v>
      </x:c>
      <x:c r="E5" s="58" t="n">
        <x:f>D5*Inputs!$B$7</x:f>
        <x:v>0</x:v>
      </x:c>
      <x:c r="F5" s="58" t="n">
        <x:f>D5+E5</x:f>
        <x:v>0</x:v>
      </x:c>
      <x:c r="G5" s="54" t="str"/>
      <x:c r="H5" s="54" t="str">
        <x:v>TBC</x:v>
      </x:c>
    </x:row>
    <x:row r="6">
      <x:c r="A6" s="54" t="str"/>
      <x:c r="B6" s="54" t="str"/>
      <x:c r="C6" s="31" t="n">
        <x:v>0</x:v>
      </x:c>
      <x:c r="D6" s="58" t="n">
        <x:f>C6*Summary!$B$6</x:f>
        <x:v>0</x:v>
      </x:c>
      <x:c r="E6" s="58" t="n">
        <x:f>D6*Inputs!$B$7</x:f>
        <x:v>0</x:v>
      </x:c>
      <x:c r="F6" s="58" t="n">
        <x:f>D6+E6</x:f>
        <x:v>0</x:v>
      </x:c>
      <x:c r="G6" s="54" t="str"/>
      <x:c r="H6" s="54" t="str">
        <x:v>TBC</x:v>
      </x:c>
    </x:row>
    <x:row r="7">
      <x:c r="A7" s="54" t="str"/>
      <x:c r="B7" s="54" t="str"/>
      <x:c r="C7" s="31" t="n">
        <x:v>0</x:v>
      </x:c>
      <x:c r="D7" s="58" t="n">
        <x:f>C7*Summary!$B$6</x:f>
        <x:v>0</x:v>
      </x:c>
      <x:c r="E7" s="58" t="n">
        <x:f>D7*Inputs!$B$7</x:f>
        <x:v>0</x:v>
      </x:c>
      <x:c r="F7" s="58" t="n">
        <x:f>D7+E7</x:f>
        <x:v>0</x:v>
      </x:c>
      <x:c r="G7" s="54" t="str"/>
      <x:c r="H7" s="54" t="str">
        <x:v>TBC</x:v>
      </x:c>
    </x:row>
    <x:row r="8">
      <x:c r="A8" s="54" t="str"/>
      <x:c r="B8" s="54" t="str"/>
      <x:c r="C8" s="31" t="n">
        <x:v>0</x:v>
      </x:c>
      <x:c r="D8" s="58" t="n">
        <x:f>C8*Summary!$B$6</x:f>
        <x:v>0</x:v>
      </x:c>
      <x:c r="E8" s="58" t="n">
        <x:f>D8*Inputs!$B$7</x:f>
        <x:v>0</x:v>
      </x:c>
      <x:c r="F8" s="58" t="n">
        <x:f>D8+E8</x:f>
        <x:v>0</x:v>
      </x:c>
      <x:c r="G8" s="54" t="str"/>
      <x:c r="H8" s="54" t="str">
        <x:v>TBC</x:v>
      </x:c>
    </x:row>
    <x:row r="9">
      <x:c r="A9" s="54" t="str"/>
      <x:c r="B9" s="54" t="str"/>
      <x:c r="C9" s="31" t="n">
        <x:v>0</x:v>
      </x:c>
      <x:c r="D9" s="58" t="n">
        <x:f>C9*Summary!$B$6</x:f>
        <x:v>0</x:v>
      </x:c>
      <x:c r="E9" s="58" t="n">
        <x:f>D9*Inputs!$B$7</x:f>
        <x:v>0</x:v>
      </x:c>
      <x:c r="F9" s="58" t="n">
        <x:f>D9+E9</x:f>
        <x:v>0</x:v>
      </x:c>
      <x:c r="G9" s="54" t="str"/>
      <x:c r="H9" s="54" t="str">
        <x:v>TBC</x:v>
      </x:c>
    </x:row>
    <x:row r="10">
      <x:c r="A10" s="54" t="str"/>
      <x:c r="B10" s="54" t="str"/>
      <x:c r="C10" s="31" t="n">
        <x:v>0</x:v>
      </x:c>
      <x:c r="D10" s="58" t="n">
        <x:f>C10*Summary!$B$6</x:f>
        <x:v>0</x:v>
      </x:c>
      <x:c r="E10" s="58" t="n">
        <x:f>D10*Inputs!$B$7</x:f>
        <x:v>0</x:v>
      </x:c>
      <x:c r="F10" s="58" t="n">
        <x:f>D10+E10</x:f>
        <x:v>0</x:v>
      </x:c>
      <x:c r="G10" s="54" t="str"/>
      <x:c r="H10" s="54" t="str">
        <x:v>TBC</x:v>
      </x:c>
    </x:row>
    <x:row r="11">
      <x:c r="A11" s="54" t="str"/>
      <x:c r="B11" s="54" t="str"/>
      <x:c r="C11" s="31" t="n">
        <x:v>0</x:v>
      </x:c>
      <x:c r="D11" s="58" t="n">
        <x:f>C11*Summary!$B$6</x:f>
        <x:v>0</x:v>
      </x:c>
      <x:c r="E11" s="58" t="n">
        <x:f>D11*Inputs!$B$7</x:f>
        <x:v>0</x:v>
      </x:c>
      <x:c r="F11" s="58" t="n">
        <x:f>D11+E11</x:f>
        <x:v>0</x:v>
      </x:c>
      <x:c r="G11" s="54" t="str"/>
      <x:c r="H11" s="54" t="str">
        <x:v>TBC</x:v>
      </x:c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59" t="str">
        <x:v>Milestone total</x:v>
      </x:c>
      <x:c r="B13" s="59"/>
      <x:c r="C13" s="70" t="n">
        <x:f>SUM(C4:C11)</x:f>
        <x:v>0</x:v>
      </x:c>
      <x:c r="D13" s="56" t="n">
        <x:f>SUM(D4:D11)</x:f>
        <x:v>0</x:v>
      </x:c>
      <x:c r="E13" s="56" t="n">
        <x:f>SUM(E4:E11)</x:f>
        <x:v>0</x:v>
      </x:c>
      <x:c r="F13" s="56" t="n">
        <x:f>SUM(F4:F11)</x:f>
        <x:v>0</x:v>
      </x:c>
      <x:c r="G13" s="29"/>
      <x:c r="H13" s="29"/>
    </x:row>
  </x:sheetData>
  <x:mergeCells>
    <x:mergeCell ref="A1:H1"/>
    <x:mergeCell ref="A13:B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8" hidden="0" customWidth="1"/>
    <x:col min="4" max="4" width="8" hidden="0" customWidth="1"/>
    <x:col min="5" max="5" width="22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32" hidden="0" customWidth="1"/>
  </x:cols>
  <x:sheetData>
    <x:row r="1">
      <x:c r="A1" s="5" t="str">
        <x:v>Client BOQ - Safe Client-Facing View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Line ID</x:v>
      </x:c>
      <x:c r="B3" s="14" t="str">
        <x:v>Description</x:v>
      </x:c>
      <x:c r="C3" s="14" t="str">
        <x:v>Unit</x:v>
      </x:c>
      <x:c r="D3" s="14" t="str">
        <x:v>Qty</x:v>
      </x:c>
      <x:c r="E3" s="14" t="str">
        <x:v>Unit Price ex VAT (SAR)</x:v>
      </x:c>
      <x:c r="F3" s="14" t="str">
        <x:v>Total ex VAT (SAR)</x:v>
      </x:c>
      <x:c r="G3" s="14" t="str">
        <x:v>VAT (SAR)</x:v>
      </x:c>
      <x:c r="H3" s="14" t="str">
        <x:v>Total inc VAT (SAR)</x:v>
      </x:c>
      <x:c r="I3" s="14" t="str">
        <x:v>Treatment</x:v>
      </x:c>
      <x:c r="J3" s="14" t="str">
        <x:v>Notes</x:v>
      </x:c>
    </x:row>
    <x:row r="4">
      <x:c r="A4" s="74" t="str">
        <x:f>Pricing_Engine!A4</x:f>
        <x:v>P-001</x:v>
      </x:c>
      <x:c r="B4" s="74" t="n">
        <x:f>Pricing_Engine!C4</x:f>
        <x:v>0</x:v>
      </x:c>
      <x:c r="C4" s="74" t="n">
        <x:f>Pricing_Engine!D4</x:f>
        <x:v>0</x:v>
      </x:c>
      <x:c r="D4" s="75" t="str">
        <x:f>Pricing_Engine!E4</x:f>
      </x:c>
      <x:c r="E4" s="58" t="n">
        <x:f>Pricing_Engine!N4</x:f>
        <x:v>0</x:v>
      </x:c>
      <x:c r="F4" s="58" t="n">
        <x:f>Pricing_Engine!O4</x:f>
        <x:v>0</x:v>
      </x:c>
      <x:c r="G4" s="58" t="n">
        <x:f>Pricing_Engine!P4</x:f>
        <x:v>0</x:v>
      </x:c>
      <x:c r="H4" s="58" t="n">
        <x:f>Pricing_Engine!Q4</x:f>
        <x:v>0</x:v>
      </x:c>
      <x:c r="I4" s="74" t="str">
        <x:f>Pricing_Engine!S4</x:f>
        <x:v>PRICING INPUT REQUIRED</x:v>
      </x:c>
      <x:c r="J4" s="54" t="str"/>
    </x:row>
    <x:row r="5">
      <x:c r="A5" s="74" t="str">
        <x:f>Pricing_Engine!A5</x:f>
        <x:v>P-002</x:v>
      </x:c>
      <x:c r="B5" s="74" t="n">
        <x:f>Pricing_Engine!C5</x:f>
        <x:v>0</x:v>
      </x:c>
      <x:c r="C5" s="74" t="n">
        <x:f>Pricing_Engine!D5</x:f>
        <x:v>0</x:v>
      </x:c>
      <x:c r="D5" s="75" t="str">
        <x:f>Pricing_Engine!E5</x:f>
      </x:c>
      <x:c r="E5" s="58" t="n">
        <x:f>Pricing_Engine!N5</x:f>
        <x:v>0</x:v>
      </x:c>
      <x:c r="F5" s="58" t="n">
        <x:f>Pricing_Engine!O5</x:f>
        <x:v>0</x:v>
      </x:c>
      <x:c r="G5" s="58" t="n">
        <x:f>Pricing_Engine!P5</x:f>
        <x:v>0</x:v>
      </x:c>
      <x:c r="H5" s="58" t="n">
        <x:f>Pricing_Engine!Q5</x:f>
        <x:v>0</x:v>
      </x:c>
      <x:c r="I5" s="74" t="str">
        <x:f>Pricing_Engine!S5</x:f>
        <x:v>PRICING INPUT REQUIRED</x:v>
      </x:c>
      <x:c r="J5" s="54" t="str"/>
    </x:row>
    <x:row r="6">
      <x:c r="A6" s="74" t="str">
        <x:f>Pricing_Engine!A6</x:f>
        <x:v>P-003</x:v>
      </x:c>
      <x:c r="B6" s="74" t="n">
        <x:f>Pricing_Engine!C6</x:f>
        <x:v>0</x:v>
      </x:c>
      <x:c r="C6" s="74" t="n">
        <x:f>Pricing_Engine!D6</x:f>
        <x:v>0</x:v>
      </x:c>
      <x:c r="D6" s="75" t="str">
        <x:f>Pricing_Engine!E6</x:f>
      </x:c>
      <x:c r="E6" s="58" t="n">
        <x:f>Pricing_Engine!N6</x:f>
        <x:v>0</x:v>
      </x:c>
      <x:c r="F6" s="58" t="n">
        <x:f>Pricing_Engine!O6</x:f>
        <x:v>0</x:v>
      </x:c>
      <x:c r="G6" s="58" t="n">
        <x:f>Pricing_Engine!P6</x:f>
        <x:v>0</x:v>
      </x:c>
      <x:c r="H6" s="58" t="n">
        <x:f>Pricing_Engine!Q6</x:f>
        <x:v>0</x:v>
      </x:c>
      <x:c r="I6" s="74" t="str">
        <x:f>Pricing_Engine!S6</x:f>
        <x:v>PRICING INPUT REQUIRED</x:v>
      </x:c>
      <x:c r="J6" s="54" t="str"/>
    </x:row>
    <x:row r="7">
      <x:c r="A7" s="74" t="str">
        <x:f>Pricing_Engine!A7</x:f>
        <x:v>P-004</x:v>
      </x:c>
      <x:c r="B7" s="74" t="n">
        <x:f>Pricing_Engine!C7</x:f>
        <x:v>0</x:v>
      </x:c>
      <x:c r="C7" s="74" t="n">
        <x:f>Pricing_Engine!D7</x:f>
        <x:v>0</x:v>
      </x:c>
      <x:c r="D7" s="75" t="str">
        <x:f>Pricing_Engine!E7</x:f>
      </x:c>
      <x:c r="E7" s="58" t="n">
        <x:f>Pricing_Engine!N7</x:f>
        <x:v>0</x:v>
      </x:c>
      <x:c r="F7" s="58" t="n">
        <x:f>Pricing_Engine!O7</x:f>
        <x:v>0</x:v>
      </x:c>
      <x:c r="G7" s="58" t="n">
        <x:f>Pricing_Engine!P7</x:f>
        <x:v>0</x:v>
      </x:c>
      <x:c r="H7" s="58" t="n">
        <x:f>Pricing_Engine!Q7</x:f>
        <x:v>0</x:v>
      </x:c>
      <x:c r="I7" s="74" t="str">
        <x:f>Pricing_Engine!S7</x:f>
        <x:v>PRICING INPUT REQUIRED</x:v>
      </x:c>
      <x:c r="J7" s="54" t="str"/>
    </x:row>
    <x:row r="8">
      <x:c r="A8" s="74" t="str">
        <x:f>Pricing_Engine!A8</x:f>
        <x:v>P-005</x:v>
      </x:c>
      <x:c r="B8" s="74" t="n">
        <x:f>Pricing_Engine!C8</x:f>
        <x:v>0</x:v>
      </x:c>
      <x:c r="C8" s="74" t="n">
        <x:f>Pricing_Engine!D8</x:f>
        <x:v>0</x:v>
      </x:c>
      <x:c r="D8" s="75" t="str">
        <x:f>Pricing_Engine!E8</x:f>
      </x:c>
      <x:c r="E8" s="58" t="n">
        <x:f>Pricing_Engine!N8</x:f>
        <x:v>0</x:v>
      </x:c>
      <x:c r="F8" s="58" t="n">
        <x:f>Pricing_Engine!O8</x:f>
        <x:v>0</x:v>
      </x:c>
      <x:c r="G8" s="58" t="n">
        <x:f>Pricing_Engine!P8</x:f>
        <x:v>0</x:v>
      </x:c>
      <x:c r="H8" s="58" t="n">
        <x:f>Pricing_Engine!Q8</x:f>
        <x:v>0</x:v>
      </x:c>
      <x:c r="I8" s="74" t="str">
        <x:f>Pricing_Engine!S8</x:f>
        <x:v>PRICING INPUT REQUIRED</x:v>
      </x:c>
      <x:c r="J8" s="54" t="str"/>
    </x:row>
    <x:row r="9">
      <x:c r="A9" s="74" t="str">
        <x:f>Pricing_Engine!A9</x:f>
        <x:v>P-006</x:v>
      </x:c>
      <x:c r="B9" s="74" t="n">
        <x:f>Pricing_Engine!C9</x:f>
        <x:v>0</x:v>
      </x:c>
      <x:c r="C9" s="74" t="n">
        <x:f>Pricing_Engine!D9</x:f>
        <x:v>0</x:v>
      </x:c>
      <x:c r="D9" s="75" t="str">
        <x:f>Pricing_Engine!E9</x:f>
      </x:c>
      <x:c r="E9" s="58" t="n">
        <x:f>Pricing_Engine!N9</x:f>
        <x:v>0</x:v>
      </x:c>
      <x:c r="F9" s="58" t="n">
        <x:f>Pricing_Engine!O9</x:f>
        <x:v>0</x:v>
      </x:c>
      <x:c r="G9" s="58" t="n">
        <x:f>Pricing_Engine!P9</x:f>
        <x:v>0</x:v>
      </x:c>
      <x:c r="H9" s="58" t="n">
        <x:f>Pricing_Engine!Q9</x:f>
        <x:v>0</x:v>
      </x:c>
      <x:c r="I9" s="74" t="str">
        <x:f>Pricing_Engine!S9</x:f>
        <x:v>PRICING INPUT REQUIRED</x:v>
      </x:c>
      <x:c r="J9" s="54" t="str"/>
    </x:row>
    <x:row r="10">
      <x:c r="A10" s="74" t="str">
        <x:f>Pricing_Engine!A10</x:f>
        <x:v>P-007</x:v>
      </x:c>
      <x:c r="B10" s="74" t="n">
        <x:f>Pricing_Engine!C10</x:f>
        <x:v>0</x:v>
      </x:c>
      <x:c r="C10" s="74" t="n">
        <x:f>Pricing_Engine!D10</x:f>
        <x:v>0</x:v>
      </x:c>
      <x:c r="D10" s="75" t="str">
        <x:f>Pricing_Engine!E10</x:f>
      </x:c>
      <x:c r="E10" s="58" t="n">
        <x:f>Pricing_Engine!N10</x:f>
        <x:v>0</x:v>
      </x:c>
      <x:c r="F10" s="58" t="n">
        <x:f>Pricing_Engine!O10</x:f>
        <x:v>0</x:v>
      </x:c>
      <x:c r="G10" s="58" t="n">
        <x:f>Pricing_Engine!P10</x:f>
        <x:v>0</x:v>
      </x:c>
      <x:c r="H10" s="58" t="n">
        <x:f>Pricing_Engine!Q10</x:f>
        <x:v>0</x:v>
      </x:c>
      <x:c r="I10" s="74" t="str">
        <x:f>Pricing_Engine!S10</x:f>
        <x:v>PRICING INPUT REQUIRED</x:v>
      </x:c>
      <x:c r="J10" s="54" t="str"/>
    </x:row>
    <x:row r="11">
      <x:c r="A11" s="74" t="str">
        <x:f>Pricing_Engine!A11</x:f>
        <x:v>P-008</x:v>
      </x:c>
      <x:c r="B11" s="74" t="n">
        <x:f>Pricing_Engine!C11</x:f>
        <x:v>0</x:v>
      </x:c>
      <x:c r="C11" s="74" t="n">
        <x:f>Pricing_Engine!D11</x:f>
        <x:v>0</x:v>
      </x:c>
      <x:c r="D11" s="75" t="str">
        <x:f>Pricing_Engine!E11</x:f>
      </x:c>
      <x:c r="E11" s="58" t="n">
        <x:f>Pricing_Engine!N11</x:f>
        <x:v>0</x:v>
      </x:c>
      <x:c r="F11" s="58" t="n">
        <x:f>Pricing_Engine!O11</x:f>
        <x:v>0</x:v>
      </x:c>
      <x:c r="G11" s="58" t="n">
        <x:f>Pricing_Engine!P11</x:f>
        <x:v>0</x:v>
      </x:c>
      <x:c r="H11" s="58" t="n">
        <x:f>Pricing_Engine!Q11</x:f>
        <x:v>0</x:v>
      </x:c>
      <x:c r="I11" s="74" t="str">
        <x:f>Pricing_Engine!S11</x:f>
        <x:v>PRICING INPUT REQUIRED</x:v>
      </x:c>
      <x:c r="J11" s="54" t="str"/>
    </x:row>
    <x:row r="12">
      <x:c r="A12" s="74" t="str">
        <x:f>Pricing_Engine!A12</x:f>
        <x:v>P-009</x:v>
      </x:c>
      <x:c r="B12" s="74" t="n">
        <x:f>Pricing_Engine!C12</x:f>
        <x:v>0</x:v>
      </x:c>
      <x:c r="C12" s="74" t="n">
        <x:f>Pricing_Engine!D12</x:f>
        <x:v>0</x:v>
      </x:c>
      <x:c r="D12" s="75" t="str">
        <x:f>Pricing_Engine!E12</x:f>
      </x:c>
      <x:c r="E12" s="58" t="n">
        <x:f>Pricing_Engine!N12</x:f>
        <x:v>0</x:v>
      </x:c>
      <x:c r="F12" s="58" t="n">
        <x:f>Pricing_Engine!O12</x:f>
        <x:v>0</x:v>
      </x:c>
      <x:c r="G12" s="58" t="n">
        <x:f>Pricing_Engine!P12</x:f>
        <x:v>0</x:v>
      </x:c>
      <x:c r="H12" s="58" t="n">
        <x:f>Pricing_Engine!Q12</x:f>
        <x:v>0</x:v>
      </x:c>
      <x:c r="I12" s="74" t="str">
        <x:f>Pricing_Engine!S12</x:f>
        <x:v>PRICING INPUT REQUIRED</x:v>
      </x:c>
      <x:c r="J12" s="54" t="str"/>
    </x:row>
    <x:row r="13">
      <x:c r="A13" s="74" t="str">
        <x:f>Pricing_Engine!A13</x:f>
        <x:v>P-010</x:v>
      </x:c>
      <x:c r="B13" s="74" t="n">
        <x:f>Pricing_Engine!C13</x:f>
        <x:v>0</x:v>
      </x:c>
      <x:c r="C13" s="74" t="n">
        <x:f>Pricing_Engine!D13</x:f>
        <x:v>0</x:v>
      </x:c>
      <x:c r="D13" s="75" t="str">
        <x:f>Pricing_Engine!E13</x:f>
      </x:c>
      <x:c r="E13" s="58" t="n">
        <x:f>Pricing_Engine!N13</x:f>
        <x:v>0</x:v>
      </x:c>
      <x:c r="F13" s="58" t="n">
        <x:f>Pricing_Engine!O13</x:f>
        <x:v>0</x:v>
      </x:c>
      <x:c r="G13" s="58" t="n">
        <x:f>Pricing_Engine!P13</x:f>
        <x:v>0</x:v>
      </x:c>
      <x:c r="H13" s="58" t="n">
        <x:f>Pricing_Engine!Q13</x:f>
        <x:v>0</x:v>
      </x:c>
      <x:c r="I13" s="74" t="str">
        <x:f>Pricing_Engine!S13</x:f>
        <x:v>PRICING INPUT REQUIRED</x:v>
      </x:c>
      <x:c r="J13" s="54" t="str"/>
    </x:row>
    <x:row r="14">
      <x:c r="A14" s="74" t="str">
        <x:f>Pricing_Engine!A14</x:f>
        <x:v>P-011</x:v>
      </x:c>
      <x:c r="B14" s="74" t="n">
        <x:f>Pricing_Engine!C14</x:f>
        <x:v>0</x:v>
      </x:c>
      <x:c r="C14" s="74" t="n">
        <x:f>Pricing_Engine!D14</x:f>
        <x:v>0</x:v>
      </x:c>
      <x:c r="D14" s="75" t="str">
        <x:f>Pricing_Engine!E14</x:f>
      </x:c>
      <x:c r="E14" s="58" t="n">
        <x:f>Pricing_Engine!N14</x:f>
        <x:v>0</x:v>
      </x:c>
      <x:c r="F14" s="58" t="n">
        <x:f>Pricing_Engine!O14</x:f>
        <x:v>0</x:v>
      </x:c>
      <x:c r="G14" s="58" t="n">
        <x:f>Pricing_Engine!P14</x:f>
        <x:v>0</x:v>
      </x:c>
      <x:c r="H14" s="58" t="n">
        <x:f>Pricing_Engine!Q14</x:f>
        <x:v>0</x:v>
      </x:c>
      <x:c r="I14" s="74" t="str">
        <x:f>Pricing_Engine!S14</x:f>
        <x:v>PRICING INPUT REQUIRED</x:v>
      </x:c>
      <x:c r="J14" s="54" t="str"/>
    </x:row>
    <x:row r="15">
      <x:c r="A15" s="74" t="str">
        <x:f>Pricing_Engine!A15</x:f>
        <x:v>P-012</x:v>
      </x:c>
      <x:c r="B15" s="74" t="n">
        <x:f>Pricing_Engine!C15</x:f>
        <x:v>0</x:v>
      </x:c>
      <x:c r="C15" s="74" t="n">
        <x:f>Pricing_Engine!D15</x:f>
        <x:v>0</x:v>
      </x:c>
      <x:c r="D15" s="75" t="str">
        <x:f>Pricing_Engine!E15</x:f>
      </x:c>
      <x:c r="E15" s="58" t="n">
        <x:f>Pricing_Engine!N15</x:f>
        <x:v>0</x:v>
      </x:c>
      <x:c r="F15" s="58" t="n">
        <x:f>Pricing_Engine!O15</x:f>
        <x:v>0</x:v>
      </x:c>
      <x:c r="G15" s="58" t="n">
        <x:f>Pricing_Engine!P15</x:f>
        <x:v>0</x:v>
      </x:c>
      <x:c r="H15" s="58" t="n">
        <x:f>Pricing_Engine!Q15</x:f>
        <x:v>0</x:v>
      </x:c>
      <x:c r="I15" s="74" t="str">
        <x:f>Pricing_Engine!S15</x:f>
        <x:v>PRICING INPUT REQUIRED</x:v>
      </x:c>
      <x:c r="J15" s="54" t="str"/>
    </x:row>
    <x:row r="16">
      <x:c r="A16" s="74" t="str">
        <x:f>Pricing_Engine!A16</x:f>
        <x:v>P-013</x:v>
      </x:c>
      <x:c r="B16" s="74" t="n">
        <x:f>Pricing_Engine!C16</x:f>
        <x:v>0</x:v>
      </x:c>
      <x:c r="C16" s="74" t="n">
        <x:f>Pricing_Engine!D16</x:f>
        <x:v>0</x:v>
      </x:c>
      <x:c r="D16" s="75" t="str">
        <x:f>Pricing_Engine!E16</x:f>
      </x:c>
      <x:c r="E16" s="58" t="n">
        <x:f>Pricing_Engine!N16</x:f>
        <x:v>0</x:v>
      </x:c>
      <x:c r="F16" s="58" t="n">
        <x:f>Pricing_Engine!O16</x:f>
        <x:v>0</x:v>
      </x:c>
      <x:c r="G16" s="58" t="n">
        <x:f>Pricing_Engine!P16</x:f>
        <x:v>0</x:v>
      </x:c>
      <x:c r="H16" s="58" t="n">
        <x:f>Pricing_Engine!Q16</x:f>
        <x:v>0</x:v>
      </x:c>
      <x:c r="I16" s="74" t="str">
        <x:f>Pricing_Engine!S16</x:f>
        <x:v>PRICING INPUT REQUIRED</x:v>
      </x:c>
      <x:c r="J16" s="54" t="str"/>
    </x:row>
    <x:row r="17">
      <x:c r="A17" s="74" t="str">
        <x:f>Pricing_Engine!A17</x:f>
        <x:v>P-014</x:v>
      </x:c>
      <x:c r="B17" s="74" t="n">
        <x:f>Pricing_Engine!C17</x:f>
        <x:v>0</x:v>
      </x:c>
      <x:c r="C17" s="74" t="n">
        <x:f>Pricing_Engine!D17</x:f>
        <x:v>0</x:v>
      </x:c>
      <x:c r="D17" s="75" t="str">
        <x:f>Pricing_Engine!E17</x:f>
      </x:c>
      <x:c r="E17" s="58" t="n">
        <x:f>Pricing_Engine!N17</x:f>
        <x:v>0</x:v>
      </x:c>
      <x:c r="F17" s="58" t="n">
        <x:f>Pricing_Engine!O17</x:f>
        <x:v>0</x:v>
      </x:c>
      <x:c r="G17" s="58" t="n">
        <x:f>Pricing_Engine!P17</x:f>
        <x:v>0</x:v>
      </x:c>
      <x:c r="H17" s="58" t="n">
        <x:f>Pricing_Engine!Q17</x:f>
        <x:v>0</x:v>
      </x:c>
      <x:c r="I17" s="74" t="str">
        <x:f>Pricing_Engine!S17</x:f>
        <x:v>PRICING INPUT REQUIRED</x:v>
      </x:c>
      <x:c r="J17" s="54" t="str"/>
    </x:row>
    <x:row r="18">
      <x:c r="A18" s="74" t="str">
        <x:f>Pricing_Engine!A18</x:f>
        <x:v>P-015</x:v>
      </x:c>
      <x:c r="B18" s="74" t="n">
        <x:f>Pricing_Engine!C18</x:f>
        <x:v>0</x:v>
      </x:c>
      <x:c r="C18" s="74" t="n">
        <x:f>Pricing_Engine!D18</x:f>
        <x:v>0</x:v>
      </x:c>
      <x:c r="D18" s="75" t="str">
        <x:f>Pricing_Engine!E18</x:f>
      </x:c>
      <x:c r="E18" s="58" t="n">
        <x:f>Pricing_Engine!N18</x:f>
        <x:v>0</x:v>
      </x:c>
      <x:c r="F18" s="58" t="n">
        <x:f>Pricing_Engine!O18</x:f>
        <x:v>0</x:v>
      </x:c>
      <x:c r="G18" s="58" t="n">
        <x:f>Pricing_Engine!P18</x:f>
        <x:v>0</x:v>
      </x:c>
      <x:c r="H18" s="58" t="n">
        <x:f>Pricing_Engine!Q18</x:f>
        <x:v>0</x:v>
      </x:c>
      <x:c r="I18" s="74" t="str">
        <x:f>Pricing_Engine!S18</x:f>
        <x:v>PRICING INPUT REQUIRED</x:v>
      </x:c>
      <x:c r="J18" s="54" t="str"/>
    </x:row>
    <x:row r="19">
      <x:c r="A19" s="74" t="str">
        <x:f>Pricing_Engine!A19</x:f>
        <x:v>P-016</x:v>
      </x:c>
      <x:c r="B19" s="74" t="n">
        <x:f>Pricing_Engine!C19</x:f>
        <x:v>0</x:v>
      </x:c>
      <x:c r="C19" s="74" t="n">
        <x:f>Pricing_Engine!D19</x:f>
        <x:v>0</x:v>
      </x:c>
      <x:c r="D19" s="75" t="str">
        <x:f>Pricing_Engine!E19</x:f>
      </x:c>
      <x:c r="E19" s="58" t="n">
        <x:f>Pricing_Engine!N19</x:f>
        <x:v>0</x:v>
      </x:c>
      <x:c r="F19" s="58" t="n">
        <x:f>Pricing_Engine!O19</x:f>
        <x:v>0</x:v>
      </x:c>
      <x:c r="G19" s="58" t="n">
        <x:f>Pricing_Engine!P19</x:f>
        <x:v>0</x:v>
      </x:c>
      <x:c r="H19" s="58" t="n">
        <x:f>Pricing_Engine!Q19</x:f>
        <x:v>0</x:v>
      </x:c>
      <x:c r="I19" s="74" t="str">
        <x:f>Pricing_Engine!S19</x:f>
        <x:v>PRICING INPUT REQUIRED</x:v>
      </x:c>
      <x:c r="J19" s="54" t="str"/>
    </x:row>
    <x:row r="20">
      <x:c r="A20" s="74" t="str">
        <x:f>Pricing_Engine!A20</x:f>
        <x:v>P-017</x:v>
      </x:c>
      <x:c r="B20" s="74" t="n">
        <x:f>Pricing_Engine!C20</x:f>
        <x:v>0</x:v>
      </x:c>
      <x:c r="C20" s="74" t="n">
        <x:f>Pricing_Engine!D20</x:f>
        <x:v>0</x:v>
      </x:c>
      <x:c r="D20" s="75" t="str">
        <x:f>Pricing_Engine!E20</x:f>
      </x:c>
      <x:c r="E20" s="58" t="n">
        <x:f>Pricing_Engine!N20</x:f>
        <x:v>0</x:v>
      </x:c>
      <x:c r="F20" s="58" t="n">
        <x:f>Pricing_Engine!O20</x:f>
        <x:v>0</x:v>
      </x:c>
      <x:c r="G20" s="58" t="n">
        <x:f>Pricing_Engine!P20</x:f>
        <x:v>0</x:v>
      </x:c>
      <x:c r="H20" s="58" t="n">
        <x:f>Pricing_Engine!Q20</x:f>
        <x:v>0</x:v>
      </x:c>
      <x:c r="I20" s="74" t="str">
        <x:f>Pricing_Engine!S20</x:f>
        <x:v>PRICING INPUT REQUIRED</x:v>
      </x:c>
      <x:c r="J20" s="54" t="str"/>
    </x:row>
    <x:row r="21">
      <x:c r="A21" s="74" t="str">
        <x:f>Pricing_Engine!A21</x:f>
        <x:v>P-018</x:v>
      </x:c>
      <x:c r="B21" s="74" t="n">
        <x:f>Pricing_Engine!C21</x:f>
        <x:v>0</x:v>
      </x:c>
      <x:c r="C21" s="74" t="n">
        <x:f>Pricing_Engine!D21</x:f>
        <x:v>0</x:v>
      </x:c>
      <x:c r="D21" s="75" t="str">
        <x:f>Pricing_Engine!E21</x:f>
      </x:c>
      <x:c r="E21" s="58" t="n">
        <x:f>Pricing_Engine!N21</x:f>
        <x:v>0</x:v>
      </x:c>
      <x:c r="F21" s="58" t="n">
        <x:f>Pricing_Engine!O21</x:f>
        <x:v>0</x:v>
      </x:c>
      <x:c r="G21" s="58" t="n">
        <x:f>Pricing_Engine!P21</x:f>
        <x:v>0</x:v>
      </x:c>
      <x:c r="H21" s="58" t="n">
        <x:f>Pricing_Engine!Q21</x:f>
        <x:v>0</x:v>
      </x:c>
      <x:c r="I21" s="74" t="str">
        <x:f>Pricing_Engine!S21</x:f>
        <x:v>PRICING INPUT REQUIRED</x:v>
      </x:c>
      <x:c r="J21" s="54" t="str"/>
    </x:row>
    <x:row r="22">
      <x:c r="A22" s="74" t="str">
        <x:f>Pricing_Engine!A22</x:f>
        <x:v>P-019</x:v>
      </x:c>
      <x:c r="B22" s="74" t="n">
        <x:f>Pricing_Engine!C22</x:f>
        <x:v>0</x:v>
      </x:c>
      <x:c r="C22" s="74" t="n">
        <x:f>Pricing_Engine!D22</x:f>
        <x:v>0</x:v>
      </x:c>
      <x:c r="D22" s="75" t="str">
        <x:f>Pricing_Engine!E22</x:f>
      </x:c>
      <x:c r="E22" s="58" t="n">
        <x:f>Pricing_Engine!N22</x:f>
        <x:v>0</x:v>
      </x:c>
      <x:c r="F22" s="58" t="n">
        <x:f>Pricing_Engine!O22</x:f>
        <x:v>0</x:v>
      </x:c>
      <x:c r="G22" s="58" t="n">
        <x:f>Pricing_Engine!P22</x:f>
        <x:v>0</x:v>
      </x:c>
      <x:c r="H22" s="58" t="n">
        <x:f>Pricing_Engine!Q22</x:f>
        <x:v>0</x:v>
      </x:c>
      <x:c r="I22" s="74" t="str">
        <x:f>Pricing_Engine!S22</x:f>
        <x:v>PRICING INPUT REQUIRED</x:v>
      </x:c>
      <x:c r="J22" s="54" t="str"/>
    </x:row>
    <x:row r="23">
      <x:c r="A23" s="74" t="str">
        <x:f>Pricing_Engine!A23</x:f>
        <x:v>P-020</x:v>
      </x:c>
      <x:c r="B23" s="74" t="n">
        <x:f>Pricing_Engine!C23</x:f>
        <x:v>0</x:v>
      </x:c>
      <x:c r="C23" s="74" t="n">
        <x:f>Pricing_Engine!D23</x:f>
        <x:v>0</x:v>
      </x:c>
      <x:c r="D23" s="75" t="str">
        <x:f>Pricing_Engine!E23</x:f>
      </x:c>
      <x:c r="E23" s="58" t="n">
        <x:f>Pricing_Engine!N23</x:f>
        <x:v>0</x:v>
      </x:c>
      <x:c r="F23" s="58" t="n">
        <x:f>Pricing_Engine!O23</x:f>
        <x:v>0</x:v>
      </x:c>
      <x:c r="G23" s="58" t="n">
        <x:f>Pricing_Engine!P23</x:f>
        <x:v>0</x:v>
      </x:c>
      <x:c r="H23" s="58" t="n">
        <x:f>Pricing_Engine!Q23</x:f>
        <x:v>0</x:v>
      </x:c>
      <x:c r="I23" s="74" t="str">
        <x:f>Pricing_Engine!S23</x:f>
        <x:v>PRICING INPUT REQUIRED</x:v>
      </x:c>
      <x:c r="J23" s="54" t="str"/>
    </x:row>
    <x:row r="24">
      <x:c r="A24" s="74" t="str">
        <x:f>Pricing_Engine!A24</x:f>
        <x:v>P-021</x:v>
      </x:c>
      <x:c r="B24" s="74" t="n">
        <x:f>Pricing_Engine!C24</x:f>
        <x:v>0</x:v>
      </x:c>
      <x:c r="C24" s="74" t="n">
        <x:f>Pricing_Engine!D24</x:f>
        <x:v>0</x:v>
      </x:c>
      <x:c r="D24" s="75" t="str">
        <x:f>Pricing_Engine!E24</x:f>
      </x:c>
      <x:c r="E24" s="58" t="n">
        <x:f>Pricing_Engine!N24</x:f>
        <x:v>0</x:v>
      </x:c>
      <x:c r="F24" s="58" t="n">
        <x:f>Pricing_Engine!O24</x:f>
        <x:v>0</x:v>
      </x:c>
      <x:c r="G24" s="58" t="n">
        <x:f>Pricing_Engine!P24</x:f>
        <x:v>0</x:v>
      </x:c>
      <x:c r="H24" s="58" t="n">
        <x:f>Pricing_Engine!Q24</x:f>
        <x:v>0</x:v>
      </x:c>
      <x:c r="I24" s="74" t="str">
        <x:f>Pricing_Engine!S24</x:f>
        <x:v>PRICING INPUT REQUIRED</x:v>
      </x:c>
      <x:c r="J24" s="54" t="str"/>
    </x:row>
    <x:row r="25">
      <x:c r="A25" s="74" t="str">
        <x:f>Pricing_Engine!A25</x:f>
        <x:v>P-022</x:v>
      </x:c>
      <x:c r="B25" s="74" t="n">
        <x:f>Pricing_Engine!C25</x:f>
        <x:v>0</x:v>
      </x:c>
      <x:c r="C25" s="74" t="n">
        <x:f>Pricing_Engine!D25</x:f>
        <x:v>0</x:v>
      </x:c>
      <x:c r="D25" s="75" t="str">
        <x:f>Pricing_Engine!E25</x:f>
      </x:c>
      <x:c r="E25" s="58" t="n">
        <x:f>Pricing_Engine!N25</x:f>
        <x:v>0</x:v>
      </x:c>
      <x:c r="F25" s="58" t="n">
        <x:f>Pricing_Engine!O25</x:f>
        <x:v>0</x:v>
      </x:c>
      <x:c r="G25" s="58" t="n">
        <x:f>Pricing_Engine!P25</x:f>
        <x:v>0</x:v>
      </x:c>
      <x:c r="H25" s="58" t="n">
        <x:f>Pricing_Engine!Q25</x:f>
        <x:v>0</x:v>
      </x:c>
      <x:c r="I25" s="74" t="str">
        <x:f>Pricing_Engine!S25</x:f>
        <x:v>PRICING INPUT REQUIRED</x:v>
      </x:c>
      <x:c r="J25" s="54" t="str"/>
    </x:row>
    <x:row r="26">
      <x:c r="A26" s="74" t="str">
        <x:f>Pricing_Engine!A26</x:f>
        <x:v>P-023</x:v>
      </x:c>
      <x:c r="B26" s="74" t="n">
        <x:f>Pricing_Engine!C26</x:f>
        <x:v>0</x:v>
      </x:c>
      <x:c r="C26" s="74" t="n">
        <x:f>Pricing_Engine!D26</x:f>
        <x:v>0</x:v>
      </x:c>
      <x:c r="D26" s="75" t="str">
        <x:f>Pricing_Engine!E26</x:f>
      </x:c>
      <x:c r="E26" s="58" t="n">
        <x:f>Pricing_Engine!N26</x:f>
        <x:v>0</x:v>
      </x:c>
      <x:c r="F26" s="58" t="n">
        <x:f>Pricing_Engine!O26</x:f>
        <x:v>0</x:v>
      </x:c>
      <x:c r="G26" s="58" t="n">
        <x:f>Pricing_Engine!P26</x:f>
        <x:v>0</x:v>
      </x:c>
      <x:c r="H26" s="58" t="n">
        <x:f>Pricing_Engine!Q26</x:f>
        <x:v>0</x:v>
      </x:c>
      <x:c r="I26" s="74" t="str">
        <x:f>Pricing_Engine!S26</x:f>
        <x:v>PRICING INPUT REQUIRED</x:v>
      </x:c>
      <x:c r="J26" s="54" t="str"/>
    </x:row>
    <x:row r="27">
      <x:c r="A27" s="74" t="str">
        <x:f>Pricing_Engine!A27</x:f>
        <x:v>P-024</x:v>
      </x:c>
      <x:c r="B27" s="74" t="n">
        <x:f>Pricing_Engine!C27</x:f>
        <x:v>0</x:v>
      </x:c>
      <x:c r="C27" s="74" t="n">
        <x:f>Pricing_Engine!D27</x:f>
        <x:v>0</x:v>
      </x:c>
      <x:c r="D27" s="75" t="str">
        <x:f>Pricing_Engine!E27</x:f>
      </x:c>
      <x:c r="E27" s="58" t="n">
        <x:f>Pricing_Engine!N27</x:f>
        <x:v>0</x:v>
      </x:c>
      <x:c r="F27" s="58" t="n">
        <x:f>Pricing_Engine!O27</x:f>
        <x:v>0</x:v>
      </x:c>
      <x:c r="G27" s="58" t="n">
        <x:f>Pricing_Engine!P27</x:f>
        <x:v>0</x:v>
      </x:c>
      <x:c r="H27" s="58" t="n">
        <x:f>Pricing_Engine!Q27</x:f>
        <x:v>0</x:v>
      </x:c>
      <x:c r="I27" s="74" t="str">
        <x:f>Pricing_Engine!S27</x:f>
        <x:v>PRICING INPUT REQUIRED</x:v>
      </x:c>
      <x:c r="J27" s="54" t="str"/>
    </x:row>
    <x:row r="28">
      <x:c r="A28" s="74" t="str">
        <x:f>Pricing_Engine!A28</x:f>
        <x:v>P-025</x:v>
      </x:c>
      <x:c r="B28" s="74" t="n">
        <x:f>Pricing_Engine!C28</x:f>
        <x:v>0</x:v>
      </x:c>
      <x:c r="C28" s="74" t="n">
        <x:f>Pricing_Engine!D28</x:f>
        <x:v>0</x:v>
      </x:c>
      <x:c r="D28" s="75" t="n">
        <x:f>Pricing_Engine!E28</x:f>
        <x:v>0</x:v>
      </x:c>
      <x:c r="E28" s="58" t="n">
        <x:f>Pricing_Engine!N28</x:f>
        <x:v>0</x:v>
      </x:c>
      <x:c r="F28" s="58" t="n">
        <x:f>Pricing_Engine!O28</x:f>
        <x:v>0</x:v>
      </x:c>
      <x:c r="G28" s="58" t="n">
        <x:f>Pricing_Engine!P28</x:f>
        <x:v>0</x:v>
      </x:c>
      <x:c r="H28" s="58" t="n">
        <x:f>Pricing_Engine!Q28</x:f>
        <x:v>0</x:v>
      </x:c>
      <x:c r="I28" s="74" t="str">
        <x:f>Pricing_Engine!S28</x:f>
        <x:v>PRICING INPUT REQUIRED</x:v>
      </x:c>
      <x:c r="J28" s="54" t="str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</x:row>
    <x:row r="30">
      <x:c r="A30" s="59" t="str">
        <x:v>Total</x:v>
      </x:c>
      <x:c r="B30" s="59"/>
      <x:c r="C30" s="59"/>
      <x:c r="D30" s="59"/>
      <x:c r="E30" s="59"/>
      <x:c r="F30" s="56" t="n">
        <x:f>SUM(F4:F28)</x:f>
        <x:v>0</x:v>
      </x:c>
      <x:c r="G30" s="56" t="n">
        <x:f>SUM(G4:G28)</x:f>
        <x:v>0</x:v>
      </x:c>
      <x:c r="H30" s="56" t="n">
        <x:f>SUM(H4:H28)</x:f>
        <x:v>0</x:v>
      </x:c>
      <x:c r="I30" s="29"/>
      <x:c r="J30" s="29"/>
    </x:row>
  </x:sheetData>
  <x:mergeCells>
    <x:mergeCell ref="A1:J1"/>
    <x:mergeCell ref="A30:E3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18" hidden="0" customWidth="1"/>
    <x:col min="4" max="4" width="28" hidden="0" customWidth="1"/>
  </x:cols>
  <x:sheetData>
    <x:row r="1">
      <x:c r="A1" s="28" t="str">
        <x:v>Commercial Summary</x:v>
      </x:c>
      <x:c r="B1" s="28"/>
      <x:c r="C1" s="28"/>
      <x:c r="D1" s="28"/>
    </x:row>
    <x:row r="2">
      <x:c r="A2" s="29"/>
      <x:c r="B2" s="29"/>
      <x:c r="C2" s="29"/>
      <x:c r="D2" s="29"/>
    </x:row>
    <x:row r="3">
      <x:c r="A3" s="14" t="str">
        <x:v>Metric</x:v>
      </x:c>
      <x:c r="B3" s="14" t="str">
        <x:v>Value</x:v>
      </x:c>
      <x:c r="C3" s="29"/>
      <x:c r="D3" s="29"/>
    </x:row>
    <x:row r="4">
      <x:c r="A4" s="29" t="str">
        <x:v>Direct Cost Estimate (SAR)</x:v>
      </x:c>
      <x:c r="B4" s="58" t="n">
        <x:f>SUM(Pricing_Engine!I4:I28)</x:f>
        <x:v>0</x:v>
      </x:c>
      <x:c r="C4" s="29"/>
      <x:c r="D4" s="29"/>
    </x:row>
    <x:row r="5">
      <x:c r="A5" s="29" t="str">
        <x:v>Loaded Cost Estimate (SAR)</x:v>
      </x:c>
      <x:c r="B5" s="58" t="n">
        <x:f>SUM(Pricing_Engine!L4:L28)</x:f>
        <x:v>0</x:v>
      </x:c>
      <x:c r="C5" s="29"/>
      <x:c r="D5" s="29"/>
    </x:row>
    <x:row r="6">
      <x:c r="A6" s="29" t="str">
        <x:v>Quoted Total ex VAT (SAR)</x:v>
      </x:c>
      <x:c r="B6" s="58" t="n">
        <x:f>SUM(Pricing_Engine!O4:O28)</x:f>
        <x:v>0</x:v>
      </x:c>
      <x:c r="C6" s="29"/>
      <x:c r="D6" s="29"/>
    </x:row>
    <x:row r="7">
      <x:c r="A7" s="29" t="str">
        <x:v>VAT (SAR)</x:v>
      </x:c>
      <x:c r="B7" s="58" t="n">
        <x:f>SUM(Pricing_Engine!P4:P28)</x:f>
        <x:v>0</x:v>
      </x:c>
      <x:c r="C7" s="29"/>
      <x:c r="D7" s="29"/>
    </x:row>
    <x:row r="8">
      <x:c r="A8" s="29" t="str">
        <x:v>Quoted Total inc VAT (SAR)</x:v>
      </x:c>
      <x:c r="B8" s="58" t="n">
        <x:f>SUM(Pricing_Engine!Q4:Q28)</x:f>
        <x:v>0</x:v>
      </x:c>
      <x:c r="C8" s="29"/>
      <x:c r="D8" s="29"/>
    </x:row>
    <x:row r="9">
      <x:c r="A9" s="29" t="str">
        <x:v>Discount</x:v>
      </x:c>
      <x:c r="B9" s="57" t="n">
        <x:f>Inputs!B11</x:f>
        <x:v>0</x:v>
      </x:c>
      <x:c r="C9" s="29"/>
      <x:c r="D9" s="29"/>
    </x:row>
    <x:row r="10">
      <x:c r="A10" s="29" t="str">
        <x:v>VAT Rate</x:v>
      </x:c>
      <x:c r="B10" s="57" t="n">
        <x:f>Inputs!B7</x:f>
        <x:v>0.15</x:v>
      </x:c>
      <x:c r="C10" s="29"/>
      <x:c r="D10" s="29"/>
    </x:row>
    <x:row r="11">
      <x:c r="A11" s="29" t="str">
        <x:v>Pricing Status</x:v>
      </x:c>
      <x:c r="B11" s="74" t="str">
        <x:f>Inputs!B14</x:f>
        <x:v>PRICING INPUT REQUIRED</x:v>
      </x:c>
      <x:c r="C11" s="29"/>
      <x:c r="D11" s="29"/>
    </x:row>
    <x:row r="12">
      <x:c r="A12" s="29"/>
      <x:c r="B12" s="29"/>
      <x:c r="C12" s="29"/>
      <x:c r="D12" s="29"/>
    </x:row>
    <x:row r="13">
      <x:c r="A13" s="59" t="str">
        <x:v>Model Control Notes</x:v>
      </x:c>
      <x:c r="B13" s="59"/>
      <x:c r="C13" s="59"/>
      <x:c r="D13" s="59"/>
    </x:row>
    <x:row r="14">
      <x:c r="A14" s="29" t="str">
        <x:v>1</x:v>
      </x:c>
      <x:c r="B14" s="29" t="str">
        <x:v>Do not mark READY until each priced line has a grounded source or approved cost basis</x:v>
      </x:c>
      <x:c r="C14" s="29" t="str"/>
      <x:c r="D14" s="29" t="str"/>
    </x:row>
    <x:row r="15">
      <x:c r="A15" s="29" t="str">
        <x:v>2</x:v>
      </x:c>
      <x:c r="B15" s="29" t="str">
        <x:v>Client_BOQ intentionally excludes internal cost, overhead, risk, and margin</x:v>
      </x:c>
      <x:c r="C15" s="29" t="str"/>
      <x:c r="D15" s="29" t="str"/>
    </x:row>
    <x:row r="16">
      <x:c r="A16" s="29" t="str">
        <x:v>3</x:v>
      </x:c>
      <x:c r="B16" s="29" t="str">
        <x:v>Keep VAT as a sourced input and verify bid-specific tax presentation</x:v>
      </x:c>
      <x:c r="C16" s="29" t="str"/>
      <x:c r="D16" s="29" t="str"/>
    </x:row>
    <x:row r="17">
      <x:c r="A17" s="29" t="str">
        <x:v>4</x:v>
      </x:c>
      <x:c r="B17" s="29" t="str">
        <x:v>Handle optional and excluded rows consistently in evaluated totals</x:v>
      </x:c>
      <x:c r="C17" s="29" t="str"/>
      <x:c r="D17" s="29" t="str"/>
    </x:row>
    <x:row r="18">
      <x:c r="A18" s="29" t="str">
        <x:v>5</x:v>
      </x:c>
      <x:c r="B18" s="29" t="str">
        <x:v>Reconcile every price line to Deliverable_Map before submission</x:v>
      </x:c>
      <x:c r="C18" s="29" t="str"/>
      <x:c r="D18" s="29" t="str"/>
    </x:row>
  </x:sheetData>
  <x:mergeCells>
    <x:mergeCell ref="A1:D1"/>
    <x:mergeCell ref="A13:D13"/>
  </x:mergeCells>
  <x:pageMargins left="0.7" right="0.7" top="0.75" bottom="0.75" header="0.3" footer="0.3"/>
</x:worksheet>
</file>